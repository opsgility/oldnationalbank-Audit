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" sheetId="1" state="visible" r:id="rId3"/>
    <sheet name="Subledger" sheetId="2" state="visible" r:id="rId4"/>
    <sheet name="Legac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<sst xmlns="http://schemas.openxmlformats.org/spreadsheetml/2006/main" count="972" uniqueCount="272">
  <si>
    <t xml:space="preserve">Transaction ID</t>
  </si>
  <si>
    <t xml:space="preserve">Posting Date</t>
  </si>
  <si>
    <t xml:space="preserve">Account Number</t>
  </si>
  <si>
    <t xml:space="preserve">Description</t>
  </si>
  <si>
    <t xml:space="preserve">Branch</t>
  </si>
  <si>
    <t xml:space="preserve">Amount</t>
  </si>
  <si>
    <t xml:space="preserve">TXN-20001</t>
  </si>
  <si>
    <t xml:space="preserve">1024942603</t>
  </si>
  <si>
    <t xml:space="preserve">Loan funding</t>
  </si>
  <si>
    <t xml:space="preserve">Bloomington</t>
  </si>
  <si>
    <t xml:space="preserve">TXN-20002</t>
  </si>
  <si>
    <t xml:space="preserve">1028728463</t>
  </si>
  <si>
    <t xml:space="preserve">Customer deposit</t>
  </si>
  <si>
    <t xml:space="preserve">TXN-20003</t>
  </si>
  <si>
    <t xml:space="preserve">1021668732</t>
  </si>
  <si>
    <t xml:space="preserve">Escrow disbursement</t>
  </si>
  <si>
    <t xml:space="preserve">Evansville Main</t>
  </si>
  <si>
    <t xml:space="preserve">TXN-20004</t>
  </si>
  <si>
    <t xml:space="preserve">1041227216</t>
  </si>
  <si>
    <t xml:space="preserve">Terre Haute</t>
  </si>
  <si>
    <t xml:space="preserve">TXN-20005</t>
  </si>
  <si>
    <t xml:space="preserve">1083140807</t>
  </si>
  <si>
    <t xml:space="preserve">Indianapolis North</t>
  </si>
  <si>
    <t xml:space="preserve">TXN-20006</t>
  </si>
  <si>
    <t xml:space="preserve">1010872248</t>
  </si>
  <si>
    <t xml:space="preserve">Fee income</t>
  </si>
  <si>
    <t xml:space="preserve">TXN-20007</t>
  </si>
  <si>
    <t xml:space="preserve">1030868105</t>
  </si>
  <si>
    <t xml:space="preserve">Interest accrual</t>
  </si>
  <si>
    <t xml:space="preserve">Louisville East</t>
  </si>
  <si>
    <t xml:space="preserve">TXN-20008</t>
  </si>
  <si>
    <t xml:space="preserve">1022981052</t>
  </si>
  <si>
    <t xml:space="preserve">Payroll clearing</t>
  </si>
  <si>
    <t xml:space="preserve">TXN-20009</t>
  </si>
  <si>
    <t xml:space="preserve">1015831819</t>
  </si>
  <si>
    <t xml:space="preserve">Card settlement</t>
  </si>
  <si>
    <t xml:space="preserve">TXN-20010</t>
  </si>
  <si>
    <t xml:space="preserve">1060806024</t>
  </si>
  <si>
    <t xml:space="preserve">TXN-20011</t>
  </si>
  <si>
    <t xml:space="preserve">1093016315</t>
  </si>
  <si>
    <t xml:space="preserve">TXN-20012</t>
  </si>
  <si>
    <t xml:space="preserve">1016150444</t>
  </si>
  <si>
    <t xml:space="preserve">TXN-20013</t>
  </si>
  <si>
    <t xml:space="preserve">1041244663</t>
  </si>
  <si>
    <t xml:space="preserve">Madison</t>
  </si>
  <si>
    <t xml:space="preserve">TXN-20014</t>
  </si>
  <si>
    <t xml:space="preserve">1058966946</t>
  </si>
  <si>
    <t xml:space="preserve">TXN-20015</t>
  </si>
  <si>
    <t xml:space="preserve">1045833156</t>
  </si>
  <si>
    <t xml:space="preserve">TXN-20016</t>
  </si>
  <si>
    <t xml:space="preserve">1042857966</t>
  </si>
  <si>
    <t xml:space="preserve">TXN-20017</t>
  </si>
  <si>
    <t xml:space="preserve">1095899313</t>
  </si>
  <si>
    <t xml:space="preserve">TXN-20018</t>
  </si>
  <si>
    <t xml:space="preserve">1017507864</t>
  </si>
  <si>
    <t xml:space="preserve">TXN-20019</t>
  </si>
  <si>
    <t xml:space="preserve">1045935572</t>
  </si>
  <si>
    <t xml:space="preserve">TXN-20020</t>
  </si>
  <si>
    <t xml:space="preserve">1052235350</t>
  </si>
  <si>
    <t xml:space="preserve">TXN-20021</t>
  </si>
  <si>
    <t xml:space="preserve">1096282117</t>
  </si>
  <si>
    <t xml:space="preserve">TXN-20022</t>
  </si>
  <si>
    <t xml:space="preserve">1085345555</t>
  </si>
  <si>
    <t xml:space="preserve">Vendor payment</t>
  </si>
  <si>
    <t xml:space="preserve">TXN-20023</t>
  </si>
  <si>
    <t xml:space="preserve">1088320463</t>
  </si>
  <si>
    <t xml:space="preserve">TXN-20024</t>
  </si>
  <si>
    <t xml:space="preserve">1078387461</t>
  </si>
  <si>
    <t xml:space="preserve">TXN-20025</t>
  </si>
  <si>
    <t xml:space="preserve">1024716857</t>
  </si>
  <si>
    <t xml:space="preserve">TXN-20026</t>
  </si>
  <si>
    <t xml:space="preserve">1066661351</t>
  </si>
  <si>
    <t xml:space="preserve">TXN-20027</t>
  </si>
  <si>
    <t xml:space="preserve">1081016525</t>
  </si>
  <si>
    <t xml:space="preserve">TXN-20028</t>
  </si>
  <si>
    <t xml:space="preserve">1025374874</t>
  </si>
  <si>
    <t xml:space="preserve">TXN-20029</t>
  </si>
  <si>
    <t xml:space="preserve">1068353204</t>
  </si>
  <si>
    <t xml:space="preserve">TXN-20030</t>
  </si>
  <si>
    <t xml:space="preserve">1045351479</t>
  </si>
  <si>
    <t xml:space="preserve">TXN-20031</t>
  </si>
  <si>
    <t xml:space="preserve">1093926371</t>
  </si>
  <si>
    <t xml:space="preserve">TXN-20032</t>
  </si>
  <si>
    <t xml:space="preserve">1030513739</t>
  </si>
  <si>
    <t xml:space="preserve">TXN-20033</t>
  </si>
  <si>
    <t xml:space="preserve">1081182864</t>
  </si>
  <si>
    <t xml:space="preserve">TXN-20034</t>
  </si>
  <si>
    <t xml:space="preserve">1025014631</t>
  </si>
  <si>
    <t xml:space="preserve">TXN-20035</t>
  </si>
  <si>
    <t xml:space="preserve">1086149359</t>
  </si>
  <si>
    <t xml:space="preserve">TXN-20036</t>
  </si>
  <si>
    <t xml:space="preserve">1019289546</t>
  </si>
  <si>
    <t xml:space="preserve">TXN-20037</t>
  </si>
  <si>
    <t xml:space="preserve">1032162965</t>
  </si>
  <si>
    <t xml:space="preserve">TXN-20038</t>
  </si>
  <si>
    <t xml:space="preserve">1038427073</t>
  </si>
  <si>
    <t xml:space="preserve">TXN-20039</t>
  </si>
  <si>
    <t xml:space="preserve">1097225156</t>
  </si>
  <si>
    <t xml:space="preserve">TXN-20040</t>
  </si>
  <si>
    <t xml:space="preserve">1026240908</t>
  </si>
  <si>
    <t xml:space="preserve">TXN-20041</t>
  </si>
  <si>
    <t xml:space="preserve">1088961459</t>
  </si>
  <si>
    <t xml:space="preserve">TXN-20042</t>
  </si>
  <si>
    <t xml:space="preserve">1094705205</t>
  </si>
  <si>
    <t xml:space="preserve">TXN-20043</t>
  </si>
  <si>
    <t xml:space="preserve">1054349361</t>
  </si>
  <si>
    <t xml:space="preserve">TXN-20044</t>
  </si>
  <si>
    <t xml:space="preserve">1075151231</t>
  </si>
  <si>
    <t xml:space="preserve">TXN-20045</t>
  </si>
  <si>
    <t xml:space="preserve">1086644106</t>
  </si>
  <si>
    <t xml:space="preserve">TXN-20046</t>
  </si>
  <si>
    <t xml:space="preserve">1064634663</t>
  </si>
  <si>
    <t xml:space="preserve">TXN-20047</t>
  </si>
  <si>
    <t xml:space="preserve">1057553014</t>
  </si>
  <si>
    <t xml:space="preserve">TXN-20048</t>
  </si>
  <si>
    <t xml:space="preserve">1017270733</t>
  </si>
  <si>
    <t xml:space="preserve">TXN-20049</t>
  </si>
  <si>
    <t xml:space="preserve">1024665841</t>
  </si>
  <si>
    <t xml:space="preserve">TXN-20050</t>
  </si>
  <si>
    <t xml:space="preserve">1028814949</t>
  </si>
  <si>
    <t xml:space="preserve">TXN-20051</t>
  </si>
  <si>
    <t xml:space="preserve">1020117988</t>
  </si>
  <si>
    <t xml:space="preserve">TXN-20052</t>
  </si>
  <si>
    <t xml:space="preserve">1082556484</t>
  </si>
  <si>
    <t xml:space="preserve">TXN-20053</t>
  </si>
  <si>
    <t xml:space="preserve">1041726318</t>
  </si>
  <si>
    <t xml:space="preserve">TXN-20054</t>
  </si>
  <si>
    <t xml:space="preserve">1063826716</t>
  </si>
  <si>
    <t xml:space="preserve">TXN-20055</t>
  </si>
  <si>
    <t xml:space="preserve">1045594951</t>
  </si>
  <si>
    <t xml:space="preserve">TXN-20056</t>
  </si>
  <si>
    <t xml:space="preserve">1084593961</t>
  </si>
  <si>
    <t xml:space="preserve">TXN-20057</t>
  </si>
  <si>
    <t xml:space="preserve">1017849494</t>
  </si>
  <si>
    <t xml:space="preserve">TXN-20058</t>
  </si>
  <si>
    <t xml:space="preserve">1088406989</t>
  </si>
  <si>
    <t xml:space="preserve">TXN-20059</t>
  </si>
  <si>
    <t xml:space="preserve">1031130263</t>
  </si>
  <si>
    <t xml:space="preserve">TXN-20060</t>
  </si>
  <si>
    <t xml:space="preserve">1019196777</t>
  </si>
  <si>
    <t xml:space="preserve">TXN-20061</t>
  </si>
  <si>
    <t xml:space="preserve">1026090908</t>
  </si>
  <si>
    <t xml:space="preserve">TXN-20062</t>
  </si>
  <si>
    <t xml:space="preserve">1021003626</t>
  </si>
  <si>
    <t xml:space="preserve">TXN-20063</t>
  </si>
  <si>
    <t xml:space="preserve">1052462441</t>
  </si>
  <si>
    <t xml:space="preserve">TXN-20064</t>
  </si>
  <si>
    <t xml:space="preserve">1042035886</t>
  </si>
  <si>
    <t xml:space="preserve">TXN-20065</t>
  </si>
  <si>
    <t xml:space="preserve">1050264926</t>
  </si>
  <si>
    <t xml:space="preserve">TXN-20066</t>
  </si>
  <si>
    <t xml:space="preserve">1019736572</t>
  </si>
  <si>
    <t xml:space="preserve">TXN-20067</t>
  </si>
  <si>
    <t xml:space="preserve">1023419256</t>
  </si>
  <si>
    <t xml:space="preserve">TXN-20068</t>
  </si>
  <si>
    <t xml:space="preserve">1027778019</t>
  </si>
  <si>
    <t xml:space="preserve">TXN-20069</t>
  </si>
  <si>
    <t xml:space="preserve">1048250360</t>
  </si>
  <si>
    <t xml:space="preserve">TXN-20070</t>
  </si>
  <si>
    <t xml:space="preserve">1050603163</t>
  </si>
  <si>
    <t xml:space="preserve">TXN-20071</t>
  </si>
  <si>
    <t xml:space="preserve">1099038526</t>
  </si>
  <si>
    <t xml:space="preserve">TXN-20072</t>
  </si>
  <si>
    <t xml:space="preserve">1024366125</t>
  </si>
  <si>
    <t xml:space="preserve">TXN-20073</t>
  </si>
  <si>
    <t xml:space="preserve">1056020613</t>
  </si>
  <si>
    <t xml:space="preserve">TXN-20074</t>
  </si>
  <si>
    <t xml:space="preserve">1077834855</t>
  </si>
  <si>
    <t xml:space="preserve">TXN-20075</t>
  </si>
  <si>
    <t xml:space="preserve">1016818112</t>
  </si>
  <si>
    <t xml:space="preserve">TXN-20076</t>
  </si>
  <si>
    <t xml:space="preserve">1015917225</t>
  </si>
  <si>
    <t xml:space="preserve">TXN-20077</t>
  </si>
  <si>
    <t xml:space="preserve">1045159040</t>
  </si>
  <si>
    <t xml:space="preserve">TXN-20078</t>
  </si>
  <si>
    <t xml:space="preserve">1067403166</t>
  </si>
  <si>
    <t xml:space="preserve">TXN-20079</t>
  </si>
  <si>
    <t xml:space="preserve">1030005727</t>
  </si>
  <si>
    <t xml:space="preserve">TXN-20080</t>
  </si>
  <si>
    <t xml:space="preserve">1067684996</t>
  </si>
  <si>
    <t xml:space="preserve">TXN-20081</t>
  </si>
  <si>
    <t xml:space="preserve">1015354599</t>
  </si>
  <si>
    <t xml:space="preserve">TXN-20082</t>
  </si>
  <si>
    <t xml:space="preserve">1023796726</t>
  </si>
  <si>
    <t xml:space="preserve">TXN-20083</t>
  </si>
  <si>
    <t xml:space="preserve">1093303777</t>
  </si>
  <si>
    <t xml:space="preserve">TXN-20084</t>
  </si>
  <si>
    <t xml:space="preserve">1033763566</t>
  </si>
  <si>
    <t xml:space="preserve">TXN-20085</t>
  </si>
  <si>
    <t xml:space="preserve">1054585178</t>
  </si>
  <si>
    <t xml:space="preserve">TXN-20086</t>
  </si>
  <si>
    <t xml:space="preserve">1043308443</t>
  </si>
  <si>
    <t xml:space="preserve">TXN-20087</t>
  </si>
  <si>
    <t xml:space="preserve">1061343880</t>
  </si>
  <si>
    <t xml:space="preserve">TXN-20088</t>
  </si>
  <si>
    <t xml:space="preserve">1071780854</t>
  </si>
  <si>
    <t xml:space="preserve">TXN-20089</t>
  </si>
  <si>
    <t xml:space="preserve">1040547349</t>
  </si>
  <si>
    <t xml:space="preserve">TXN-20090</t>
  </si>
  <si>
    <t xml:space="preserve">1054058573</t>
  </si>
  <si>
    <t xml:space="preserve">TXN-20091</t>
  </si>
  <si>
    <t xml:space="preserve">1057130035</t>
  </si>
  <si>
    <t xml:space="preserve">TXN-20092</t>
  </si>
  <si>
    <t xml:space="preserve">1054446182</t>
  </si>
  <si>
    <t xml:space="preserve">TXN-20093</t>
  </si>
  <si>
    <t xml:space="preserve">1033966966</t>
  </si>
  <si>
    <t xml:space="preserve">TXN-20094</t>
  </si>
  <si>
    <t xml:space="preserve">1056397338</t>
  </si>
  <si>
    <t xml:space="preserve">TXN-20095</t>
  </si>
  <si>
    <t xml:space="preserve">1025521714</t>
  </si>
  <si>
    <t xml:space="preserve">TXN-20096</t>
  </si>
  <si>
    <t xml:space="preserve">1068526649</t>
  </si>
  <si>
    <t xml:space="preserve">TXN-20097</t>
  </si>
  <si>
    <t xml:space="preserve">1036445607</t>
  </si>
  <si>
    <t xml:space="preserve">TXN-20098</t>
  </si>
  <si>
    <t xml:space="preserve">1054318698</t>
  </si>
  <si>
    <t xml:space="preserve">TXN-20099</t>
  </si>
  <si>
    <t xml:space="preserve">1050308572</t>
  </si>
  <si>
    <t xml:space="preserve">TXN-20100</t>
  </si>
  <si>
    <t xml:space="preserve">1049682169</t>
  </si>
  <si>
    <t xml:space="preserve">TXN-20101</t>
  </si>
  <si>
    <t xml:space="preserve">1033357554</t>
  </si>
  <si>
    <t xml:space="preserve">TXN-20102</t>
  </si>
  <si>
    <t xml:space="preserve">1050785405</t>
  </si>
  <si>
    <t xml:space="preserve">TXN-20103</t>
  </si>
  <si>
    <t xml:space="preserve">1091424737</t>
  </si>
  <si>
    <t xml:space="preserve">TXN-20104</t>
  </si>
  <si>
    <t xml:space="preserve">1038682516</t>
  </si>
  <si>
    <t xml:space="preserve">TXN-20105</t>
  </si>
  <si>
    <t xml:space="preserve">1048089166</t>
  </si>
  <si>
    <t xml:space="preserve">TXN-20106</t>
  </si>
  <si>
    <t xml:space="preserve">1041523529</t>
  </si>
  <si>
    <t xml:space="preserve">TXN-20107</t>
  </si>
  <si>
    <t xml:space="preserve">1013278320</t>
  </si>
  <si>
    <t xml:space="preserve">TXN-20108</t>
  </si>
  <si>
    <t xml:space="preserve">1019774839</t>
  </si>
  <si>
    <t xml:space="preserve">TXN-20109</t>
  </si>
  <si>
    <t xml:space="preserve">1036096655</t>
  </si>
  <si>
    <t xml:space="preserve">TXN-20110</t>
  </si>
  <si>
    <t xml:space="preserve">1098054615</t>
  </si>
  <si>
    <t xml:space="preserve">TXN-20111</t>
  </si>
  <si>
    <t xml:space="preserve">1033607110</t>
  </si>
  <si>
    <t xml:space="preserve">TXN-20112</t>
  </si>
  <si>
    <t xml:space="preserve">1026288475</t>
  </si>
  <si>
    <t xml:space="preserve">TXN-20113</t>
  </si>
  <si>
    <t xml:space="preserve">1081287314</t>
  </si>
  <si>
    <t xml:space="preserve">TXN-20114</t>
  </si>
  <si>
    <t xml:space="preserve">1077750178</t>
  </si>
  <si>
    <t xml:space="preserve">TXN-20115</t>
  </si>
  <si>
    <t xml:space="preserve">1073709724</t>
  </si>
  <si>
    <t xml:space="preserve">TXN-20116</t>
  </si>
  <si>
    <t xml:space="preserve">1095585469</t>
  </si>
  <si>
    <t xml:space="preserve">TXN-20117</t>
  </si>
  <si>
    <t xml:space="preserve">1046855845</t>
  </si>
  <si>
    <t xml:space="preserve">TXN-20118</t>
  </si>
  <si>
    <t xml:space="preserve">1046468984</t>
  </si>
  <si>
    <t xml:space="preserve">TXN-20119</t>
  </si>
  <si>
    <t xml:space="preserve">1028572252</t>
  </si>
  <si>
    <t xml:space="preserve">TXN-20120</t>
  </si>
  <si>
    <t xml:space="preserve">1038716269</t>
  </si>
  <si>
    <t xml:space="preserve">TXN-30000</t>
  </si>
  <si>
    <t xml:space="preserve">1075529051</t>
  </si>
  <si>
    <t xml:space="preserve">TXN-30001</t>
  </si>
  <si>
    <t xml:space="preserve">1062191530</t>
  </si>
  <si>
    <t xml:space="preserve">TXN-30003</t>
  </si>
  <si>
    <t xml:space="preserve">1013619375</t>
  </si>
  <si>
    <t xml:space="preserve">TXN-30002</t>
  </si>
  <si>
    <t xml:space="preserve">1032151928</t>
  </si>
  <si>
    <t xml:space="preserve">Legacy recon helpers (inherited — Exercise 2 Step 6)</t>
  </si>
  <si>
    <t xml:space="preserve">Total GL Amount:</t>
  </si>
  <si>
    <t xml:space="preserve">April count over $10K:</t>
  </si>
  <si>
    <t xml:space="preserve">Lookup demo (fragile):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</si>
</sst>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LTable" displayName="GLTable" ref="A1:F121" headerRowCount="1" totalsRowCount="0" totalsRowShown="0">
  <autoFilter ref="A1:F121"/>
  <tableColumns count="6">
    <tableColumn id="1" name="Transaction ID"/>
    <tableColumn id="2" name="Posting Date"/>
    <tableColumn id="3" name="Account Number"/>
    <tableColumn id="4" name="Description"/>
    <tableColumn id="5" name="Branch"/>
    <tableColumn id="6" name="Amount"/>
  </tableColumns>
</table>
</file>

<file path=xl/tables/table2.xml><?xml version="1.0" encoding="utf-8"?>
<table xmlns="http://schemas.openxmlformats.org/spreadsheetml/2006/main" id="2" name="SubledgerTable" displayName="SubledgerTable" ref="A1:F120" headerRowCount="1" totalsRowCount="0" totalsRowShown="0">
  <autoFilter ref="A1:F120"/>
  <tableColumns count="6">
    <tableColumn id="1" name="Transaction ID"/>
    <tableColumn id="2" name="Posting Date"/>
    <tableColumn id="3" name="Account Number"/>
    <tableColumn id="4" name="Description"/>
    <tableColumn id="5" name="Branch"/>
    <tableColumn id="6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46133</v>
      </c>
      <c r="C2" s="2" t="s">
        <v>7</v>
      </c>
      <c r="D2" s="2" t="s">
        <v>8</v>
      </c>
      <c r="E2" s="2" t="s">
        <v>9</v>
      </c>
      <c r="F2" s="4" t="n">
        <v>68866.08</v>
      </c>
    </row>
    <row r="3" customFormat="false" ht="15" hidden="false" customHeight="false" outlineLevel="0" collapsed="false">
      <c r="A3" s="2" t="s">
        <v>10</v>
      </c>
      <c r="B3" s="3" t="n">
        <v>46120</v>
      </c>
      <c r="C3" s="2" t="s">
        <v>11</v>
      </c>
      <c r="D3" s="2" t="s">
        <v>12</v>
      </c>
      <c r="E3" s="2" t="s">
        <v>9</v>
      </c>
      <c r="F3" s="4" t="n">
        <v>185205.84</v>
      </c>
    </row>
    <row r="4" customFormat="false" ht="15" hidden="false" customHeight="false" outlineLevel="0" collapsed="false">
      <c r="A4" s="2" t="s">
        <v>13</v>
      </c>
      <c r="B4" s="3" t="n">
        <v>46130</v>
      </c>
      <c r="C4" s="2" t="s">
        <v>14</v>
      </c>
      <c r="D4" s="2" t="s">
        <v>15</v>
      </c>
      <c r="E4" s="2" t="s">
        <v>16</v>
      </c>
      <c r="F4" s="4" t="n">
        <v>7594.84</v>
      </c>
    </row>
    <row r="5" customFormat="false" ht="15" hidden="false" customHeight="false" outlineLevel="0" collapsed="false">
      <c r="A5" s="2" t="s">
        <v>17</v>
      </c>
      <c r="B5" s="3" t="n">
        <v>46119</v>
      </c>
      <c r="C5" s="2" t="s">
        <v>18</v>
      </c>
      <c r="D5" s="2" t="s">
        <v>8</v>
      </c>
      <c r="E5" s="2" t="s">
        <v>19</v>
      </c>
      <c r="F5" s="4" t="n">
        <v>49829.59</v>
      </c>
    </row>
    <row r="6" customFormat="false" ht="15" hidden="false" customHeight="false" outlineLevel="0" collapsed="false">
      <c r="A6" s="2" t="s">
        <v>20</v>
      </c>
      <c r="B6" s="3" t="n">
        <v>46133</v>
      </c>
      <c r="C6" s="2" t="s">
        <v>21</v>
      </c>
      <c r="D6" s="2" t="s">
        <v>15</v>
      </c>
      <c r="E6" s="2" t="s">
        <v>22</v>
      </c>
      <c r="F6" s="4" t="n">
        <v>112384.88</v>
      </c>
    </row>
    <row r="7" customFormat="false" ht="15" hidden="false" customHeight="false" outlineLevel="0" collapsed="false">
      <c r="A7" s="2" t="s">
        <v>23</v>
      </c>
      <c r="B7" s="3" t="n">
        <v>46121</v>
      </c>
      <c r="C7" s="2" t="s">
        <v>24</v>
      </c>
      <c r="D7" s="2" t="s">
        <v>25</v>
      </c>
      <c r="E7" s="2" t="s">
        <v>9</v>
      </c>
      <c r="F7" s="4" t="n">
        <v>105740.21</v>
      </c>
    </row>
    <row r="8" customFormat="false" ht="15" hidden="false" customHeight="false" outlineLevel="0" collapsed="false">
      <c r="A8" s="2" t="s">
        <v>26</v>
      </c>
      <c r="B8" s="3" t="n">
        <v>46121</v>
      </c>
      <c r="C8" s="2" t="s">
        <v>27</v>
      </c>
      <c r="D8" s="2" t="s">
        <v>28</v>
      </c>
      <c r="E8" s="2" t="s">
        <v>29</v>
      </c>
      <c r="F8" s="4" t="n">
        <v>25687.24</v>
      </c>
    </row>
    <row r="9" customFormat="false" ht="15" hidden="false" customHeight="false" outlineLevel="0" collapsed="false">
      <c r="A9" s="2" t="s">
        <v>30</v>
      </c>
      <c r="B9" s="3" t="n">
        <v>46125</v>
      </c>
      <c r="C9" s="2" t="s">
        <v>31</v>
      </c>
      <c r="D9" s="2" t="s">
        <v>32</v>
      </c>
      <c r="E9" s="2" t="s">
        <v>29</v>
      </c>
      <c r="F9" s="4" t="n">
        <v>150990.95</v>
      </c>
    </row>
    <row r="10" customFormat="false" ht="15" hidden="false" customHeight="false" outlineLevel="0" collapsed="false">
      <c r="A10" s="2" t="s">
        <v>33</v>
      </c>
      <c r="B10" s="3" t="n">
        <v>46138</v>
      </c>
      <c r="C10" s="2" t="s">
        <v>34</v>
      </c>
      <c r="D10" s="2" t="s">
        <v>35</v>
      </c>
      <c r="E10" s="2" t="s">
        <v>19</v>
      </c>
      <c r="F10" s="4" t="n">
        <v>31337.82</v>
      </c>
    </row>
    <row r="11" customFormat="false" ht="15" hidden="false" customHeight="false" outlineLevel="0" collapsed="false">
      <c r="A11" s="2" t="s">
        <v>36</v>
      </c>
      <c r="B11" s="3" t="n">
        <v>46142</v>
      </c>
      <c r="C11" s="2" t="s">
        <v>37</v>
      </c>
      <c r="D11" s="2" t="s">
        <v>12</v>
      </c>
      <c r="E11" s="2" t="s">
        <v>19</v>
      </c>
      <c r="F11" s="4" t="n">
        <v>73400.59</v>
      </c>
    </row>
    <row r="12" customFormat="false" ht="15" hidden="false" customHeight="false" outlineLevel="0" collapsed="false">
      <c r="A12" s="2" t="s">
        <v>38</v>
      </c>
      <c r="B12" s="3" t="n">
        <v>46133</v>
      </c>
      <c r="C12" s="2" t="s">
        <v>39</v>
      </c>
      <c r="D12" s="2" t="s">
        <v>32</v>
      </c>
      <c r="E12" s="2" t="s">
        <v>19</v>
      </c>
      <c r="F12" s="4" t="n">
        <v>48193.3</v>
      </c>
    </row>
    <row r="13" customFormat="false" ht="15" hidden="false" customHeight="false" outlineLevel="0" collapsed="false">
      <c r="A13" s="2" t="s">
        <v>40</v>
      </c>
      <c r="B13" s="3" t="n">
        <v>46115</v>
      </c>
      <c r="C13" s="2" t="s">
        <v>41</v>
      </c>
      <c r="D13" s="2" t="s">
        <v>28</v>
      </c>
      <c r="E13" s="2" t="s">
        <v>29</v>
      </c>
      <c r="F13" s="4" t="n">
        <v>246307.6</v>
      </c>
    </row>
    <row r="14" customFormat="false" ht="15" hidden="false" customHeight="false" outlineLevel="0" collapsed="false">
      <c r="A14" s="2" t="s">
        <v>42</v>
      </c>
      <c r="B14" s="3" t="n">
        <v>46140</v>
      </c>
      <c r="C14" s="2" t="s">
        <v>43</v>
      </c>
      <c r="D14" s="2" t="s">
        <v>12</v>
      </c>
      <c r="E14" s="2" t="s">
        <v>44</v>
      </c>
      <c r="F14" s="4" t="n">
        <v>69601.7</v>
      </c>
    </row>
    <row r="15" customFormat="false" ht="15" hidden="false" customHeight="false" outlineLevel="0" collapsed="false">
      <c r="A15" s="2" t="s">
        <v>45</v>
      </c>
      <c r="B15" s="3" t="n">
        <v>46133</v>
      </c>
      <c r="C15" s="2" t="s">
        <v>46</v>
      </c>
      <c r="D15" s="2" t="s">
        <v>25</v>
      </c>
      <c r="E15" s="2" t="s">
        <v>29</v>
      </c>
      <c r="F15" s="4" t="n">
        <v>88914.38</v>
      </c>
    </row>
    <row r="16" customFormat="false" ht="15" hidden="false" customHeight="false" outlineLevel="0" collapsed="false">
      <c r="A16" s="2" t="s">
        <v>47</v>
      </c>
      <c r="B16" s="3" t="n">
        <v>46134</v>
      </c>
      <c r="C16" s="2" t="s">
        <v>48</v>
      </c>
      <c r="D16" s="2" t="s">
        <v>12</v>
      </c>
      <c r="E16" s="2" t="s">
        <v>19</v>
      </c>
      <c r="F16" s="4" t="n">
        <v>158799.33</v>
      </c>
    </row>
    <row r="17" customFormat="false" ht="15" hidden="false" customHeight="false" outlineLevel="0" collapsed="false">
      <c r="A17" s="2" t="s">
        <v>49</v>
      </c>
      <c r="B17" s="3" t="n">
        <v>46130</v>
      </c>
      <c r="C17" s="2" t="s">
        <v>50</v>
      </c>
      <c r="D17" s="2" t="s">
        <v>25</v>
      </c>
      <c r="E17" s="2" t="s">
        <v>44</v>
      </c>
      <c r="F17" s="4" t="n">
        <v>94956.94</v>
      </c>
    </row>
    <row r="18" customFormat="false" ht="15" hidden="false" customHeight="false" outlineLevel="0" collapsed="false">
      <c r="A18" s="2" t="s">
        <v>51</v>
      </c>
      <c r="B18" s="3" t="n">
        <v>46142</v>
      </c>
      <c r="C18" s="2" t="s">
        <v>52</v>
      </c>
      <c r="D18" s="2" t="s">
        <v>28</v>
      </c>
      <c r="E18" s="2" t="s">
        <v>9</v>
      </c>
      <c r="F18" s="4" t="n">
        <v>81172.04</v>
      </c>
    </row>
    <row r="19" customFormat="false" ht="15" hidden="false" customHeight="false" outlineLevel="0" collapsed="false">
      <c r="A19" s="2" t="s">
        <v>53</v>
      </c>
      <c r="B19" s="3" t="n">
        <v>46137</v>
      </c>
      <c r="C19" s="2" t="s">
        <v>54</v>
      </c>
      <c r="D19" s="2" t="s">
        <v>28</v>
      </c>
      <c r="E19" s="2" t="s">
        <v>16</v>
      </c>
      <c r="F19" s="4" t="n">
        <v>201290.69</v>
      </c>
    </row>
    <row r="20" customFormat="false" ht="15" hidden="false" customHeight="false" outlineLevel="0" collapsed="false">
      <c r="A20" s="2" t="s">
        <v>55</v>
      </c>
      <c r="B20" s="3" t="n">
        <v>46125</v>
      </c>
      <c r="C20" s="2" t="s">
        <v>56</v>
      </c>
      <c r="D20" s="2" t="s">
        <v>12</v>
      </c>
      <c r="E20" s="2" t="s">
        <v>22</v>
      </c>
      <c r="F20" s="4" t="n">
        <v>228297.06</v>
      </c>
    </row>
    <row r="21" customFormat="false" ht="15" hidden="false" customHeight="false" outlineLevel="0" collapsed="false">
      <c r="A21" s="2" t="s">
        <v>57</v>
      </c>
      <c r="B21" s="3" t="n">
        <v>46131</v>
      </c>
      <c r="C21" s="2" t="s">
        <v>58</v>
      </c>
      <c r="D21" s="2" t="s">
        <v>28</v>
      </c>
      <c r="E21" s="2" t="s">
        <v>9</v>
      </c>
      <c r="F21" s="4" t="n">
        <v>124882.93</v>
      </c>
    </row>
    <row r="22" customFormat="false" ht="15" hidden="false" customHeight="false" outlineLevel="0" collapsed="false">
      <c r="A22" s="2" t="s">
        <v>59</v>
      </c>
      <c r="B22" s="3" t="n">
        <v>46141</v>
      </c>
      <c r="C22" s="2" t="s">
        <v>60</v>
      </c>
      <c r="D22" s="2" t="s">
        <v>35</v>
      </c>
      <c r="E22" s="2" t="s">
        <v>22</v>
      </c>
      <c r="F22" s="4" t="n">
        <v>66330.31</v>
      </c>
    </row>
    <row r="23" customFormat="false" ht="15" hidden="false" customHeight="false" outlineLevel="0" collapsed="false">
      <c r="A23" s="2" t="s">
        <v>61</v>
      </c>
      <c r="B23" s="3" t="n">
        <v>46120</v>
      </c>
      <c r="C23" s="2" t="s">
        <v>62</v>
      </c>
      <c r="D23" s="2" t="s">
        <v>63</v>
      </c>
      <c r="E23" s="2" t="s">
        <v>9</v>
      </c>
      <c r="F23" s="4" t="n">
        <v>146208.81</v>
      </c>
    </row>
    <row r="24" customFormat="false" ht="15" hidden="false" customHeight="false" outlineLevel="0" collapsed="false">
      <c r="A24" s="2" t="s">
        <v>64</v>
      </c>
      <c r="B24" s="3" t="n">
        <v>46141</v>
      </c>
      <c r="C24" s="2" t="s">
        <v>65</v>
      </c>
      <c r="D24" s="2" t="s">
        <v>15</v>
      </c>
      <c r="E24" s="2" t="s">
        <v>29</v>
      </c>
      <c r="F24" s="4" t="n">
        <v>54947.29</v>
      </c>
    </row>
    <row r="25" customFormat="false" ht="15" hidden="false" customHeight="false" outlineLevel="0" collapsed="false">
      <c r="A25" s="2" t="s">
        <v>66</v>
      </c>
      <c r="B25" s="3" t="n">
        <v>46117</v>
      </c>
      <c r="C25" s="2" t="s">
        <v>67</v>
      </c>
      <c r="D25" s="2" t="s">
        <v>35</v>
      </c>
      <c r="E25" s="2" t="s">
        <v>16</v>
      </c>
      <c r="F25" s="4" t="n">
        <v>188982.17</v>
      </c>
    </row>
    <row r="26" customFormat="false" ht="15" hidden="false" customHeight="false" outlineLevel="0" collapsed="false">
      <c r="A26" s="2" t="s">
        <v>68</v>
      </c>
      <c r="B26" s="3" t="n">
        <v>46140</v>
      </c>
      <c r="C26" s="2" t="s">
        <v>69</v>
      </c>
      <c r="D26" s="2" t="s">
        <v>25</v>
      </c>
      <c r="E26" s="2" t="s">
        <v>9</v>
      </c>
      <c r="F26" s="4" t="n">
        <v>40121.5</v>
      </c>
    </row>
    <row r="27" customFormat="false" ht="15" hidden="false" customHeight="false" outlineLevel="0" collapsed="false">
      <c r="A27" s="2" t="s">
        <v>70</v>
      </c>
      <c r="B27" s="3" t="n">
        <v>46134</v>
      </c>
      <c r="C27" s="2" t="s">
        <v>71</v>
      </c>
      <c r="D27" s="2" t="s">
        <v>12</v>
      </c>
      <c r="E27" s="2" t="s">
        <v>44</v>
      </c>
      <c r="F27" s="4" t="n">
        <v>95497.58</v>
      </c>
    </row>
    <row r="28" customFormat="false" ht="15" hidden="false" customHeight="false" outlineLevel="0" collapsed="false">
      <c r="A28" s="2" t="s">
        <v>72</v>
      </c>
      <c r="B28" s="3" t="n">
        <v>46127</v>
      </c>
      <c r="C28" s="2" t="s">
        <v>73</v>
      </c>
      <c r="D28" s="2" t="s">
        <v>63</v>
      </c>
      <c r="E28" s="2" t="s">
        <v>19</v>
      </c>
      <c r="F28" s="4" t="n">
        <v>215215.81</v>
      </c>
    </row>
    <row r="29" customFormat="false" ht="15" hidden="false" customHeight="false" outlineLevel="0" collapsed="false">
      <c r="A29" s="2" t="s">
        <v>74</v>
      </c>
      <c r="B29" s="3" t="n">
        <v>46113</v>
      </c>
      <c r="C29" s="2" t="s">
        <v>75</v>
      </c>
      <c r="D29" s="2" t="s">
        <v>63</v>
      </c>
      <c r="E29" s="2" t="s">
        <v>9</v>
      </c>
      <c r="F29" s="4" t="n">
        <v>85142.84</v>
      </c>
    </row>
    <row r="30" customFormat="false" ht="15" hidden="false" customHeight="false" outlineLevel="0" collapsed="false">
      <c r="A30" s="2" t="s">
        <v>76</v>
      </c>
      <c r="B30" s="3" t="n">
        <v>46122</v>
      </c>
      <c r="C30" s="2" t="s">
        <v>77</v>
      </c>
      <c r="D30" s="2" t="s">
        <v>25</v>
      </c>
      <c r="E30" s="2" t="s">
        <v>44</v>
      </c>
      <c r="F30" s="4" t="n">
        <v>960.84</v>
      </c>
    </row>
    <row r="31" customFormat="false" ht="15" hidden="false" customHeight="false" outlineLevel="0" collapsed="false">
      <c r="A31" s="2" t="s">
        <v>78</v>
      </c>
      <c r="B31" s="3" t="n">
        <v>46136</v>
      </c>
      <c r="C31" s="2" t="s">
        <v>79</v>
      </c>
      <c r="D31" s="2" t="s">
        <v>25</v>
      </c>
      <c r="E31" s="2" t="s">
        <v>19</v>
      </c>
      <c r="F31" s="4" t="n">
        <v>228170.07</v>
      </c>
    </row>
    <row r="32" customFormat="false" ht="15" hidden="false" customHeight="false" outlineLevel="0" collapsed="false">
      <c r="A32" s="2" t="s">
        <v>80</v>
      </c>
      <c r="B32" s="3" t="n">
        <v>46140</v>
      </c>
      <c r="C32" s="2" t="s">
        <v>81</v>
      </c>
      <c r="D32" s="2" t="s">
        <v>63</v>
      </c>
      <c r="E32" s="2" t="s">
        <v>9</v>
      </c>
      <c r="F32" s="4" t="n">
        <v>126989.57</v>
      </c>
    </row>
    <row r="33" customFormat="false" ht="15" hidden="false" customHeight="false" outlineLevel="0" collapsed="false">
      <c r="A33" s="2" t="s">
        <v>82</v>
      </c>
      <c r="B33" s="3" t="n">
        <v>46119</v>
      </c>
      <c r="C33" s="2" t="s">
        <v>83</v>
      </c>
      <c r="D33" s="2" t="s">
        <v>32</v>
      </c>
      <c r="E33" s="2" t="s">
        <v>22</v>
      </c>
      <c r="F33" s="4" t="n">
        <v>134913.85</v>
      </c>
    </row>
    <row r="34" customFormat="false" ht="15" hidden="false" customHeight="false" outlineLevel="0" collapsed="false">
      <c r="A34" s="2" t="s">
        <v>84</v>
      </c>
      <c r="B34" s="3" t="n">
        <v>46137</v>
      </c>
      <c r="C34" s="2" t="s">
        <v>85</v>
      </c>
      <c r="D34" s="2" t="s">
        <v>8</v>
      </c>
      <c r="E34" s="2" t="s">
        <v>19</v>
      </c>
      <c r="F34" s="4" t="n">
        <v>81140.39</v>
      </c>
    </row>
    <row r="35" customFormat="false" ht="15" hidden="false" customHeight="false" outlineLevel="0" collapsed="false">
      <c r="A35" s="2" t="s">
        <v>86</v>
      </c>
      <c r="B35" s="3" t="n">
        <v>46113</v>
      </c>
      <c r="C35" s="2" t="s">
        <v>87</v>
      </c>
      <c r="D35" s="2" t="s">
        <v>32</v>
      </c>
      <c r="E35" s="2" t="s">
        <v>29</v>
      </c>
      <c r="F35" s="4" t="n">
        <v>59977.16</v>
      </c>
    </row>
    <row r="36" customFormat="false" ht="15" hidden="false" customHeight="false" outlineLevel="0" collapsed="false">
      <c r="A36" s="2" t="s">
        <v>88</v>
      </c>
      <c r="B36" s="3" t="n">
        <v>46120</v>
      </c>
      <c r="C36" s="2" t="s">
        <v>89</v>
      </c>
      <c r="D36" s="2" t="s">
        <v>12</v>
      </c>
      <c r="E36" s="2" t="s">
        <v>16</v>
      </c>
      <c r="F36" s="4" t="n">
        <v>183017.11</v>
      </c>
    </row>
    <row r="37" customFormat="false" ht="15" hidden="false" customHeight="false" outlineLevel="0" collapsed="false">
      <c r="A37" s="2" t="s">
        <v>90</v>
      </c>
      <c r="B37" s="3" t="n">
        <v>46139</v>
      </c>
      <c r="C37" s="2" t="s">
        <v>91</v>
      </c>
      <c r="D37" s="2" t="s">
        <v>25</v>
      </c>
      <c r="E37" s="2" t="s">
        <v>22</v>
      </c>
      <c r="F37" s="4" t="n">
        <v>164988.74</v>
      </c>
    </row>
    <row r="38" customFormat="false" ht="15" hidden="false" customHeight="false" outlineLevel="0" collapsed="false">
      <c r="A38" s="2" t="s">
        <v>92</v>
      </c>
      <c r="B38" s="3" t="n">
        <v>46130</v>
      </c>
      <c r="C38" s="2" t="s">
        <v>93</v>
      </c>
      <c r="D38" s="2" t="s">
        <v>63</v>
      </c>
      <c r="E38" s="2" t="s">
        <v>19</v>
      </c>
      <c r="F38" s="4" t="n">
        <v>218127.4</v>
      </c>
    </row>
    <row r="39" customFormat="false" ht="15" hidden="false" customHeight="false" outlineLevel="0" collapsed="false">
      <c r="A39" s="2" t="s">
        <v>94</v>
      </c>
      <c r="B39" s="3" t="n">
        <v>46126</v>
      </c>
      <c r="C39" s="2" t="s">
        <v>95</v>
      </c>
      <c r="D39" s="2" t="s">
        <v>28</v>
      </c>
      <c r="E39" s="2" t="s">
        <v>9</v>
      </c>
      <c r="F39" s="4" t="n">
        <v>78032.32</v>
      </c>
    </row>
    <row r="40" customFormat="false" ht="15" hidden="false" customHeight="false" outlineLevel="0" collapsed="false">
      <c r="A40" s="2" t="s">
        <v>96</v>
      </c>
      <c r="B40" s="3" t="n">
        <v>46134</v>
      </c>
      <c r="C40" s="2" t="s">
        <v>97</v>
      </c>
      <c r="D40" s="2" t="s">
        <v>32</v>
      </c>
      <c r="E40" s="2" t="s">
        <v>44</v>
      </c>
      <c r="F40" s="4" t="n">
        <v>224918.58</v>
      </c>
    </row>
    <row r="41" customFormat="false" ht="15" hidden="false" customHeight="false" outlineLevel="0" collapsed="false">
      <c r="A41" s="2" t="s">
        <v>98</v>
      </c>
      <c r="B41" s="3" t="n">
        <v>46127</v>
      </c>
      <c r="C41" s="2" t="s">
        <v>99</v>
      </c>
      <c r="D41" s="2" t="s">
        <v>28</v>
      </c>
      <c r="E41" s="2" t="s">
        <v>22</v>
      </c>
      <c r="F41" s="4" t="n">
        <v>16146.87</v>
      </c>
    </row>
    <row r="42" customFormat="false" ht="15" hidden="false" customHeight="false" outlineLevel="0" collapsed="false">
      <c r="A42" s="2" t="s">
        <v>100</v>
      </c>
      <c r="B42" s="3" t="n">
        <v>46113</v>
      </c>
      <c r="C42" s="2" t="s">
        <v>101</v>
      </c>
      <c r="D42" s="2" t="s">
        <v>28</v>
      </c>
      <c r="E42" s="2" t="s">
        <v>19</v>
      </c>
      <c r="F42" s="4" t="n">
        <v>55171.31</v>
      </c>
    </row>
    <row r="43" customFormat="false" ht="15" hidden="false" customHeight="false" outlineLevel="0" collapsed="false">
      <c r="A43" s="2" t="s">
        <v>102</v>
      </c>
      <c r="B43" s="3" t="n">
        <v>46115</v>
      </c>
      <c r="C43" s="2" t="s">
        <v>103</v>
      </c>
      <c r="D43" s="2" t="s">
        <v>8</v>
      </c>
      <c r="E43" s="2" t="s">
        <v>22</v>
      </c>
      <c r="F43" s="4" t="n">
        <v>16989.97</v>
      </c>
    </row>
    <row r="44" customFormat="false" ht="15" hidden="false" customHeight="false" outlineLevel="0" collapsed="false">
      <c r="A44" s="2" t="s">
        <v>104</v>
      </c>
      <c r="B44" s="3" t="n">
        <v>46114</v>
      </c>
      <c r="C44" s="2" t="s">
        <v>105</v>
      </c>
      <c r="D44" s="2" t="s">
        <v>12</v>
      </c>
      <c r="E44" s="2" t="s">
        <v>19</v>
      </c>
      <c r="F44" s="4" t="n">
        <v>59615.46</v>
      </c>
    </row>
    <row r="45" customFormat="false" ht="15" hidden="false" customHeight="false" outlineLevel="0" collapsed="false">
      <c r="A45" s="2" t="s">
        <v>106</v>
      </c>
      <c r="B45" s="3" t="n">
        <v>46134</v>
      </c>
      <c r="C45" s="2" t="s">
        <v>107</v>
      </c>
      <c r="D45" s="2" t="s">
        <v>28</v>
      </c>
      <c r="E45" s="2" t="s">
        <v>19</v>
      </c>
      <c r="F45" s="4" t="n">
        <v>33208.12</v>
      </c>
    </row>
    <row r="46" customFormat="false" ht="15" hidden="false" customHeight="false" outlineLevel="0" collapsed="false">
      <c r="A46" s="2" t="s">
        <v>108</v>
      </c>
      <c r="B46" s="3" t="n">
        <v>46142</v>
      </c>
      <c r="C46" s="2" t="s">
        <v>109</v>
      </c>
      <c r="D46" s="2" t="s">
        <v>35</v>
      </c>
      <c r="E46" s="2" t="s">
        <v>22</v>
      </c>
      <c r="F46" s="4" t="n">
        <v>196187.16</v>
      </c>
    </row>
    <row r="47" customFormat="false" ht="15" hidden="false" customHeight="false" outlineLevel="0" collapsed="false">
      <c r="A47" s="2" t="s">
        <v>110</v>
      </c>
      <c r="B47" s="3" t="n">
        <v>46138</v>
      </c>
      <c r="C47" s="2" t="s">
        <v>111</v>
      </c>
      <c r="D47" s="2" t="s">
        <v>28</v>
      </c>
      <c r="E47" s="2" t="s">
        <v>16</v>
      </c>
      <c r="F47" s="4" t="n">
        <v>24368.16</v>
      </c>
    </row>
    <row r="48" customFormat="false" ht="15" hidden="false" customHeight="false" outlineLevel="0" collapsed="false">
      <c r="A48" s="2" t="s">
        <v>112</v>
      </c>
      <c r="B48" s="3" t="n">
        <v>46126</v>
      </c>
      <c r="C48" s="2" t="s">
        <v>113</v>
      </c>
      <c r="D48" s="2" t="s">
        <v>15</v>
      </c>
      <c r="E48" s="2" t="s">
        <v>44</v>
      </c>
      <c r="F48" s="4" t="n">
        <v>116836.11</v>
      </c>
    </row>
    <row r="49" customFormat="false" ht="15" hidden="false" customHeight="false" outlineLevel="0" collapsed="false">
      <c r="A49" s="2" t="s">
        <v>114</v>
      </c>
      <c r="B49" s="3" t="n">
        <v>46136</v>
      </c>
      <c r="C49" s="2" t="s">
        <v>115</v>
      </c>
      <c r="D49" s="2" t="s">
        <v>12</v>
      </c>
      <c r="E49" s="2" t="s">
        <v>16</v>
      </c>
      <c r="F49" s="4" t="n">
        <v>100744.93</v>
      </c>
    </row>
    <row r="50" customFormat="false" ht="15" hidden="false" customHeight="false" outlineLevel="0" collapsed="false">
      <c r="A50" s="2" t="s">
        <v>116</v>
      </c>
      <c r="B50" s="3" t="n">
        <v>46123</v>
      </c>
      <c r="C50" s="2" t="s">
        <v>117</v>
      </c>
      <c r="D50" s="2" t="s">
        <v>28</v>
      </c>
      <c r="E50" s="2" t="s">
        <v>22</v>
      </c>
      <c r="F50" s="4" t="n">
        <v>47673.7</v>
      </c>
    </row>
    <row r="51" customFormat="false" ht="15" hidden="false" customHeight="false" outlineLevel="0" collapsed="false">
      <c r="A51" s="2" t="s">
        <v>118</v>
      </c>
      <c r="B51" s="3" t="n">
        <v>46127</v>
      </c>
      <c r="C51" s="2" t="s">
        <v>119</v>
      </c>
      <c r="D51" s="2" t="s">
        <v>15</v>
      </c>
      <c r="E51" s="2" t="s">
        <v>22</v>
      </c>
      <c r="F51" s="4" t="n">
        <v>69744.5</v>
      </c>
    </row>
    <row r="52" customFormat="false" ht="15" hidden="false" customHeight="false" outlineLevel="0" collapsed="false">
      <c r="A52" s="2" t="s">
        <v>120</v>
      </c>
      <c r="B52" s="3" t="n">
        <v>46120</v>
      </c>
      <c r="C52" s="2" t="s">
        <v>121</v>
      </c>
      <c r="D52" s="2" t="s">
        <v>35</v>
      </c>
      <c r="E52" s="2" t="s">
        <v>19</v>
      </c>
      <c r="F52" s="4" t="n">
        <v>24612.5</v>
      </c>
    </row>
    <row r="53" customFormat="false" ht="15" hidden="false" customHeight="false" outlineLevel="0" collapsed="false">
      <c r="A53" s="2" t="s">
        <v>122</v>
      </c>
      <c r="B53" s="3" t="n">
        <v>46133</v>
      </c>
      <c r="C53" s="2" t="s">
        <v>123</v>
      </c>
      <c r="D53" s="2" t="s">
        <v>8</v>
      </c>
      <c r="E53" s="2" t="s">
        <v>16</v>
      </c>
      <c r="F53" s="4" t="n">
        <v>231602.79</v>
      </c>
    </row>
    <row r="54" customFormat="false" ht="15" hidden="false" customHeight="false" outlineLevel="0" collapsed="false">
      <c r="A54" s="2" t="s">
        <v>124</v>
      </c>
      <c r="B54" s="3" t="n">
        <v>46140</v>
      </c>
      <c r="C54" s="2" t="s">
        <v>125</v>
      </c>
      <c r="D54" s="2" t="s">
        <v>25</v>
      </c>
      <c r="E54" s="2" t="s">
        <v>44</v>
      </c>
      <c r="F54" s="4" t="n">
        <v>121487.44</v>
      </c>
    </row>
    <row r="55" customFormat="false" ht="15" hidden="false" customHeight="false" outlineLevel="0" collapsed="false">
      <c r="A55" s="2" t="s">
        <v>126</v>
      </c>
      <c r="B55" s="3" t="n">
        <v>46119</v>
      </c>
      <c r="C55" s="2" t="s">
        <v>127</v>
      </c>
      <c r="D55" s="2" t="s">
        <v>8</v>
      </c>
      <c r="E55" s="2" t="s">
        <v>22</v>
      </c>
      <c r="F55" s="4" t="n">
        <v>94836.43</v>
      </c>
    </row>
    <row r="56" customFormat="false" ht="15" hidden="false" customHeight="false" outlineLevel="0" collapsed="false">
      <c r="A56" s="2" t="s">
        <v>128</v>
      </c>
      <c r="B56" s="3" t="n">
        <v>46125</v>
      </c>
      <c r="C56" s="2" t="s">
        <v>129</v>
      </c>
      <c r="D56" s="2" t="s">
        <v>35</v>
      </c>
      <c r="E56" s="2" t="s">
        <v>29</v>
      </c>
      <c r="F56" s="4" t="n">
        <v>105838.42</v>
      </c>
    </row>
    <row r="57" customFormat="false" ht="15" hidden="false" customHeight="false" outlineLevel="0" collapsed="false">
      <c r="A57" s="2" t="s">
        <v>130</v>
      </c>
      <c r="B57" s="3" t="n">
        <v>46136</v>
      </c>
      <c r="C57" s="2" t="s">
        <v>131</v>
      </c>
      <c r="D57" s="2" t="s">
        <v>35</v>
      </c>
      <c r="E57" s="2" t="s">
        <v>22</v>
      </c>
      <c r="F57" s="4" t="n">
        <v>47595.98</v>
      </c>
    </row>
    <row r="58" customFormat="false" ht="15" hidden="false" customHeight="false" outlineLevel="0" collapsed="false">
      <c r="A58" s="2" t="s">
        <v>132</v>
      </c>
      <c r="B58" s="3" t="n">
        <v>46119</v>
      </c>
      <c r="C58" s="2" t="s">
        <v>133</v>
      </c>
      <c r="D58" s="2" t="s">
        <v>8</v>
      </c>
      <c r="E58" s="2" t="s">
        <v>9</v>
      </c>
      <c r="F58" s="4" t="n">
        <v>78504.16</v>
      </c>
    </row>
    <row r="59" customFormat="false" ht="15" hidden="false" customHeight="false" outlineLevel="0" collapsed="false">
      <c r="A59" s="2" t="s">
        <v>134</v>
      </c>
      <c r="B59" s="3" t="n">
        <v>46114</v>
      </c>
      <c r="C59" s="2" t="s">
        <v>135</v>
      </c>
      <c r="D59" s="2" t="s">
        <v>35</v>
      </c>
      <c r="E59" s="2" t="s">
        <v>19</v>
      </c>
      <c r="F59" s="4" t="n">
        <v>229858.87</v>
      </c>
    </row>
    <row r="60" customFormat="false" ht="15" hidden="false" customHeight="false" outlineLevel="0" collapsed="false">
      <c r="A60" s="2" t="s">
        <v>136</v>
      </c>
      <c r="B60" s="3" t="n">
        <v>46129</v>
      </c>
      <c r="C60" s="2" t="s">
        <v>137</v>
      </c>
      <c r="D60" s="2" t="s">
        <v>8</v>
      </c>
      <c r="E60" s="2" t="s">
        <v>19</v>
      </c>
      <c r="F60" s="4" t="n">
        <v>20165.85</v>
      </c>
    </row>
    <row r="61" customFormat="false" ht="15" hidden="false" customHeight="false" outlineLevel="0" collapsed="false">
      <c r="A61" s="2" t="s">
        <v>138</v>
      </c>
      <c r="B61" s="3" t="n">
        <v>46118</v>
      </c>
      <c r="C61" s="2" t="s">
        <v>139</v>
      </c>
      <c r="D61" s="2" t="s">
        <v>12</v>
      </c>
      <c r="E61" s="2" t="s">
        <v>9</v>
      </c>
      <c r="F61" s="4" t="n">
        <v>215475.53</v>
      </c>
    </row>
    <row r="62" customFormat="false" ht="15" hidden="false" customHeight="false" outlineLevel="0" collapsed="false">
      <c r="A62" s="2" t="s">
        <v>140</v>
      </c>
      <c r="B62" s="3" t="n">
        <v>46125</v>
      </c>
      <c r="C62" s="2" t="s">
        <v>141</v>
      </c>
      <c r="D62" s="2" t="s">
        <v>28</v>
      </c>
      <c r="E62" s="2" t="s">
        <v>19</v>
      </c>
      <c r="F62" s="4" t="n">
        <v>148690.61</v>
      </c>
    </row>
    <row r="63" customFormat="false" ht="15" hidden="false" customHeight="false" outlineLevel="0" collapsed="false">
      <c r="A63" s="2" t="s">
        <v>142</v>
      </c>
      <c r="B63" s="3" t="n">
        <v>46132</v>
      </c>
      <c r="C63" s="2" t="s">
        <v>143</v>
      </c>
      <c r="D63" s="2" t="s">
        <v>15</v>
      </c>
      <c r="E63" s="2" t="s">
        <v>9</v>
      </c>
      <c r="F63" s="4" t="n">
        <v>145980.52</v>
      </c>
    </row>
    <row r="64" customFormat="false" ht="15" hidden="false" customHeight="false" outlineLevel="0" collapsed="false">
      <c r="A64" s="2" t="s">
        <v>144</v>
      </c>
      <c r="B64" s="3" t="n">
        <v>46129</v>
      </c>
      <c r="C64" s="2" t="s">
        <v>145</v>
      </c>
      <c r="D64" s="2" t="s">
        <v>63</v>
      </c>
      <c r="E64" s="2" t="s">
        <v>22</v>
      </c>
      <c r="F64" s="4" t="n">
        <v>167481.03</v>
      </c>
    </row>
    <row r="65" customFormat="false" ht="15" hidden="false" customHeight="false" outlineLevel="0" collapsed="false">
      <c r="A65" s="2" t="s">
        <v>146</v>
      </c>
      <c r="B65" s="3" t="n">
        <v>46123</v>
      </c>
      <c r="C65" s="2" t="s">
        <v>147</v>
      </c>
      <c r="D65" s="2" t="s">
        <v>63</v>
      </c>
      <c r="E65" s="2" t="s">
        <v>44</v>
      </c>
      <c r="F65" s="4" t="n">
        <v>32849.94</v>
      </c>
    </row>
    <row r="66" customFormat="false" ht="15" hidden="false" customHeight="false" outlineLevel="0" collapsed="false">
      <c r="A66" s="2" t="s">
        <v>148</v>
      </c>
      <c r="B66" s="3" t="n">
        <v>46133</v>
      </c>
      <c r="C66" s="2" t="s">
        <v>149</v>
      </c>
      <c r="D66" s="2" t="s">
        <v>35</v>
      </c>
      <c r="E66" s="2" t="s">
        <v>29</v>
      </c>
      <c r="F66" s="4" t="n">
        <v>232265.23</v>
      </c>
    </row>
    <row r="67" customFormat="false" ht="15" hidden="false" customHeight="false" outlineLevel="0" collapsed="false">
      <c r="A67" s="2" t="s">
        <v>150</v>
      </c>
      <c r="B67" s="3" t="n">
        <v>46142</v>
      </c>
      <c r="C67" s="2" t="s">
        <v>151</v>
      </c>
      <c r="D67" s="2" t="s">
        <v>8</v>
      </c>
      <c r="E67" s="2" t="s">
        <v>44</v>
      </c>
      <c r="F67" s="4" t="n">
        <v>155346.64</v>
      </c>
    </row>
    <row r="68" customFormat="false" ht="15" hidden="false" customHeight="false" outlineLevel="0" collapsed="false">
      <c r="A68" s="2" t="s">
        <v>152</v>
      </c>
      <c r="B68" s="3" t="n">
        <v>46131</v>
      </c>
      <c r="C68" s="2" t="s">
        <v>153</v>
      </c>
      <c r="D68" s="2" t="s">
        <v>12</v>
      </c>
      <c r="E68" s="2" t="s">
        <v>19</v>
      </c>
      <c r="F68" s="4" t="n">
        <v>53406.6</v>
      </c>
    </row>
    <row r="69" customFormat="false" ht="15" hidden="false" customHeight="false" outlineLevel="0" collapsed="false">
      <c r="A69" s="2" t="s">
        <v>154</v>
      </c>
      <c r="B69" s="3" t="n">
        <v>46121</v>
      </c>
      <c r="C69" s="2" t="s">
        <v>155</v>
      </c>
      <c r="D69" s="2" t="s">
        <v>32</v>
      </c>
      <c r="E69" s="2" t="s">
        <v>16</v>
      </c>
      <c r="F69" s="4" t="n">
        <v>219835.67</v>
      </c>
    </row>
    <row r="70" customFormat="false" ht="15" hidden="false" customHeight="false" outlineLevel="0" collapsed="false">
      <c r="A70" s="2" t="s">
        <v>156</v>
      </c>
      <c r="B70" s="3" t="n">
        <v>46124</v>
      </c>
      <c r="C70" s="2" t="s">
        <v>157</v>
      </c>
      <c r="D70" s="2" t="s">
        <v>25</v>
      </c>
      <c r="E70" s="2" t="s">
        <v>44</v>
      </c>
      <c r="F70" s="4" t="n">
        <v>208461.18</v>
      </c>
    </row>
    <row r="71" customFormat="false" ht="15" hidden="false" customHeight="false" outlineLevel="0" collapsed="false">
      <c r="A71" s="2" t="s">
        <v>158</v>
      </c>
      <c r="B71" s="3" t="n">
        <v>46135</v>
      </c>
      <c r="C71" s="2" t="s">
        <v>159</v>
      </c>
      <c r="D71" s="2" t="s">
        <v>8</v>
      </c>
      <c r="E71" s="2" t="s">
        <v>9</v>
      </c>
      <c r="F71" s="4" t="n">
        <v>204303.47</v>
      </c>
    </row>
    <row r="72" customFormat="false" ht="15" hidden="false" customHeight="false" outlineLevel="0" collapsed="false">
      <c r="A72" s="2" t="s">
        <v>160</v>
      </c>
      <c r="B72" s="3" t="n">
        <v>46122</v>
      </c>
      <c r="C72" s="2" t="s">
        <v>161</v>
      </c>
      <c r="D72" s="2" t="s">
        <v>12</v>
      </c>
      <c r="E72" s="2" t="s">
        <v>22</v>
      </c>
      <c r="F72" s="4" t="n">
        <v>66226.81</v>
      </c>
    </row>
    <row r="73" customFormat="false" ht="15" hidden="false" customHeight="false" outlineLevel="0" collapsed="false">
      <c r="A73" s="2" t="s">
        <v>162</v>
      </c>
      <c r="B73" s="3" t="n">
        <v>46141</v>
      </c>
      <c r="C73" s="2" t="s">
        <v>163</v>
      </c>
      <c r="D73" s="2" t="s">
        <v>25</v>
      </c>
      <c r="E73" s="2" t="s">
        <v>29</v>
      </c>
      <c r="F73" s="4" t="n">
        <v>70546.8</v>
      </c>
    </row>
    <row r="74" customFormat="false" ht="15" hidden="false" customHeight="false" outlineLevel="0" collapsed="false">
      <c r="A74" s="2" t="s">
        <v>164</v>
      </c>
      <c r="B74" s="3" t="n">
        <v>46119</v>
      </c>
      <c r="C74" s="2" t="s">
        <v>165</v>
      </c>
      <c r="D74" s="2" t="s">
        <v>28</v>
      </c>
      <c r="E74" s="2" t="s">
        <v>9</v>
      </c>
      <c r="F74" s="4" t="n">
        <v>158614.35</v>
      </c>
    </row>
    <row r="75" customFormat="false" ht="15" hidden="false" customHeight="false" outlineLevel="0" collapsed="false">
      <c r="A75" s="2" t="s">
        <v>166</v>
      </c>
      <c r="B75" s="3" t="n">
        <v>46121</v>
      </c>
      <c r="C75" s="2" t="s">
        <v>167</v>
      </c>
      <c r="D75" s="2" t="s">
        <v>35</v>
      </c>
      <c r="E75" s="2" t="s">
        <v>29</v>
      </c>
      <c r="F75" s="4" t="n">
        <v>226348.32</v>
      </c>
    </row>
    <row r="76" customFormat="false" ht="15" hidden="false" customHeight="false" outlineLevel="0" collapsed="false">
      <c r="A76" s="2" t="s">
        <v>168</v>
      </c>
      <c r="B76" s="3" t="n">
        <v>46140</v>
      </c>
      <c r="C76" s="2" t="s">
        <v>169</v>
      </c>
      <c r="D76" s="2" t="s">
        <v>12</v>
      </c>
      <c r="E76" s="2" t="s">
        <v>9</v>
      </c>
      <c r="F76" s="4" t="n">
        <v>105980.41</v>
      </c>
    </row>
    <row r="77" customFormat="false" ht="15" hidden="false" customHeight="false" outlineLevel="0" collapsed="false">
      <c r="A77" s="2" t="s">
        <v>170</v>
      </c>
      <c r="B77" s="3" t="n">
        <v>46121</v>
      </c>
      <c r="C77" s="2" t="s">
        <v>171</v>
      </c>
      <c r="D77" s="2" t="s">
        <v>8</v>
      </c>
      <c r="E77" s="2" t="s">
        <v>29</v>
      </c>
      <c r="F77" s="4" t="n">
        <v>192814.14</v>
      </c>
    </row>
    <row r="78" customFormat="false" ht="15" hidden="false" customHeight="false" outlineLevel="0" collapsed="false">
      <c r="A78" s="2" t="s">
        <v>172</v>
      </c>
      <c r="B78" s="3" t="n">
        <v>46133</v>
      </c>
      <c r="C78" s="2" t="s">
        <v>173</v>
      </c>
      <c r="D78" s="2" t="s">
        <v>25</v>
      </c>
      <c r="E78" s="2" t="s">
        <v>9</v>
      </c>
      <c r="F78" s="4" t="n">
        <v>110542.6</v>
      </c>
    </row>
    <row r="79" customFormat="false" ht="15" hidden="false" customHeight="false" outlineLevel="0" collapsed="false">
      <c r="A79" s="2" t="s">
        <v>174</v>
      </c>
      <c r="B79" s="3" t="n">
        <v>46135</v>
      </c>
      <c r="C79" s="2" t="s">
        <v>175</v>
      </c>
      <c r="D79" s="2" t="s">
        <v>8</v>
      </c>
      <c r="E79" s="2" t="s">
        <v>16</v>
      </c>
      <c r="F79" s="4" t="n">
        <v>18949.68</v>
      </c>
    </row>
    <row r="80" customFormat="false" ht="15" hidden="false" customHeight="false" outlineLevel="0" collapsed="false">
      <c r="A80" s="2" t="s">
        <v>176</v>
      </c>
      <c r="B80" s="3" t="n">
        <v>46141</v>
      </c>
      <c r="C80" s="2" t="s">
        <v>177</v>
      </c>
      <c r="D80" s="2" t="s">
        <v>8</v>
      </c>
      <c r="E80" s="2" t="s">
        <v>29</v>
      </c>
      <c r="F80" s="4" t="n">
        <v>145690.02</v>
      </c>
    </row>
    <row r="81" customFormat="false" ht="15" hidden="false" customHeight="false" outlineLevel="0" collapsed="false">
      <c r="A81" s="2" t="s">
        <v>178</v>
      </c>
      <c r="B81" s="3" t="n">
        <v>46117</v>
      </c>
      <c r="C81" s="2" t="s">
        <v>179</v>
      </c>
      <c r="D81" s="2" t="s">
        <v>25</v>
      </c>
      <c r="E81" s="2" t="s">
        <v>16</v>
      </c>
      <c r="F81" s="4" t="n">
        <v>77168.35</v>
      </c>
    </row>
    <row r="82" customFormat="false" ht="15" hidden="false" customHeight="false" outlineLevel="0" collapsed="false">
      <c r="A82" s="2" t="s">
        <v>180</v>
      </c>
      <c r="B82" s="3" t="n">
        <v>46141</v>
      </c>
      <c r="C82" s="2" t="s">
        <v>181</v>
      </c>
      <c r="D82" s="2" t="s">
        <v>32</v>
      </c>
      <c r="E82" s="2" t="s">
        <v>22</v>
      </c>
      <c r="F82" s="4" t="n">
        <v>170564.36</v>
      </c>
    </row>
    <row r="83" customFormat="false" ht="15" hidden="false" customHeight="false" outlineLevel="0" collapsed="false">
      <c r="A83" s="2" t="s">
        <v>182</v>
      </c>
      <c r="B83" s="3" t="n">
        <v>46134</v>
      </c>
      <c r="C83" s="2" t="s">
        <v>183</v>
      </c>
      <c r="D83" s="2" t="s">
        <v>32</v>
      </c>
      <c r="E83" s="2" t="s">
        <v>19</v>
      </c>
      <c r="F83" s="4" t="n">
        <v>221051.06</v>
      </c>
    </row>
    <row r="84" customFormat="false" ht="15" hidden="false" customHeight="false" outlineLevel="0" collapsed="false">
      <c r="A84" s="2" t="s">
        <v>184</v>
      </c>
      <c r="B84" s="3" t="n">
        <v>46126</v>
      </c>
      <c r="C84" s="2" t="s">
        <v>185</v>
      </c>
      <c r="D84" s="2" t="s">
        <v>25</v>
      </c>
      <c r="E84" s="2" t="s">
        <v>22</v>
      </c>
      <c r="F84" s="4" t="n">
        <v>216171.73</v>
      </c>
    </row>
    <row r="85" customFormat="false" ht="15" hidden="false" customHeight="false" outlineLevel="0" collapsed="false">
      <c r="A85" s="2" t="s">
        <v>186</v>
      </c>
      <c r="B85" s="3" t="n">
        <v>46138</v>
      </c>
      <c r="C85" s="2" t="s">
        <v>187</v>
      </c>
      <c r="D85" s="2" t="s">
        <v>15</v>
      </c>
      <c r="E85" s="2" t="s">
        <v>16</v>
      </c>
      <c r="F85" s="4" t="n">
        <v>44963.26</v>
      </c>
    </row>
    <row r="86" customFormat="false" ht="15" hidden="false" customHeight="false" outlineLevel="0" collapsed="false">
      <c r="A86" s="2" t="s">
        <v>188</v>
      </c>
      <c r="B86" s="3" t="n">
        <v>46142</v>
      </c>
      <c r="C86" s="2" t="s">
        <v>189</v>
      </c>
      <c r="D86" s="2" t="s">
        <v>15</v>
      </c>
      <c r="E86" s="2" t="s">
        <v>9</v>
      </c>
      <c r="F86" s="4" t="n">
        <v>216036.4</v>
      </c>
    </row>
    <row r="87" customFormat="false" ht="15" hidden="false" customHeight="false" outlineLevel="0" collapsed="false">
      <c r="A87" s="2" t="s">
        <v>190</v>
      </c>
      <c r="B87" s="3" t="n">
        <v>46138</v>
      </c>
      <c r="C87" s="2" t="s">
        <v>191</v>
      </c>
      <c r="D87" s="2" t="s">
        <v>63</v>
      </c>
      <c r="E87" s="2" t="s">
        <v>22</v>
      </c>
      <c r="F87" s="4" t="n">
        <v>196875.52</v>
      </c>
    </row>
    <row r="88" customFormat="false" ht="15" hidden="false" customHeight="false" outlineLevel="0" collapsed="false">
      <c r="A88" s="2" t="s">
        <v>192</v>
      </c>
      <c r="B88" s="3" t="n">
        <v>46116</v>
      </c>
      <c r="C88" s="2" t="s">
        <v>193</v>
      </c>
      <c r="D88" s="2" t="s">
        <v>8</v>
      </c>
      <c r="E88" s="2" t="s">
        <v>44</v>
      </c>
      <c r="F88" s="4" t="n">
        <v>55725.06</v>
      </c>
    </row>
    <row r="89" customFormat="false" ht="15" hidden="false" customHeight="false" outlineLevel="0" collapsed="false">
      <c r="A89" s="2" t="s">
        <v>194</v>
      </c>
      <c r="B89" s="3" t="n">
        <v>46139</v>
      </c>
      <c r="C89" s="2" t="s">
        <v>195</v>
      </c>
      <c r="D89" s="2" t="s">
        <v>32</v>
      </c>
      <c r="E89" s="2" t="s">
        <v>29</v>
      </c>
      <c r="F89" s="4" t="n">
        <v>205161.01</v>
      </c>
    </row>
    <row r="90" customFormat="false" ht="15" hidden="false" customHeight="false" outlineLevel="0" collapsed="false">
      <c r="A90" s="2" t="s">
        <v>196</v>
      </c>
      <c r="B90" s="3" t="n">
        <v>46140</v>
      </c>
      <c r="C90" s="2" t="s">
        <v>197</v>
      </c>
      <c r="D90" s="2" t="s">
        <v>28</v>
      </c>
      <c r="E90" s="2" t="s">
        <v>16</v>
      </c>
      <c r="F90" s="4" t="n">
        <v>165059.29</v>
      </c>
    </row>
    <row r="91" customFormat="false" ht="15" hidden="false" customHeight="false" outlineLevel="0" collapsed="false">
      <c r="A91" s="2" t="s">
        <v>198</v>
      </c>
      <c r="B91" s="3" t="n">
        <v>46125</v>
      </c>
      <c r="C91" s="2" t="s">
        <v>199</v>
      </c>
      <c r="D91" s="2" t="s">
        <v>63</v>
      </c>
      <c r="E91" s="2" t="s">
        <v>16</v>
      </c>
      <c r="F91" s="4" t="n">
        <v>241727.24</v>
      </c>
    </row>
    <row r="92" customFormat="false" ht="15" hidden="false" customHeight="false" outlineLevel="0" collapsed="false">
      <c r="A92" s="2" t="s">
        <v>200</v>
      </c>
      <c r="B92" s="3" t="n">
        <v>46121</v>
      </c>
      <c r="C92" s="2" t="s">
        <v>201</v>
      </c>
      <c r="D92" s="2" t="s">
        <v>15</v>
      </c>
      <c r="E92" s="2" t="s">
        <v>9</v>
      </c>
      <c r="F92" s="4" t="n">
        <v>245290.25</v>
      </c>
    </row>
    <row r="93" customFormat="false" ht="15" hidden="false" customHeight="false" outlineLevel="0" collapsed="false">
      <c r="A93" s="2" t="s">
        <v>202</v>
      </c>
      <c r="B93" s="3" t="n">
        <v>46130</v>
      </c>
      <c r="C93" s="2" t="s">
        <v>203</v>
      </c>
      <c r="D93" s="2" t="s">
        <v>8</v>
      </c>
      <c r="E93" s="2" t="s">
        <v>16</v>
      </c>
      <c r="F93" s="4" t="n">
        <v>219278.05</v>
      </c>
    </row>
    <row r="94" customFormat="false" ht="15" hidden="false" customHeight="false" outlineLevel="0" collapsed="false">
      <c r="A94" s="2" t="s">
        <v>204</v>
      </c>
      <c r="B94" s="3" t="n">
        <v>46121</v>
      </c>
      <c r="C94" s="2" t="s">
        <v>205</v>
      </c>
      <c r="D94" s="2" t="s">
        <v>63</v>
      </c>
      <c r="E94" s="2" t="s">
        <v>16</v>
      </c>
      <c r="F94" s="4" t="n">
        <v>27234.38</v>
      </c>
    </row>
    <row r="95" customFormat="false" ht="15" hidden="false" customHeight="false" outlineLevel="0" collapsed="false">
      <c r="A95" s="2" t="s">
        <v>206</v>
      </c>
      <c r="B95" s="3" t="n">
        <v>46126</v>
      </c>
      <c r="C95" s="2" t="s">
        <v>207</v>
      </c>
      <c r="D95" s="2" t="s">
        <v>32</v>
      </c>
      <c r="E95" s="2" t="s">
        <v>44</v>
      </c>
      <c r="F95" s="4" t="n">
        <v>151611.28</v>
      </c>
    </row>
    <row r="96" customFormat="false" ht="15" hidden="false" customHeight="false" outlineLevel="0" collapsed="false">
      <c r="A96" s="2" t="s">
        <v>208</v>
      </c>
      <c r="B96" s="3" t="n">
        <v>46129</v>
      </c>
      <c r="C96" s="2" t="s">
        <v>209</v>
      </c>
      <c r="D96" s="2" t="s">
        <v>15</v>
      </c>
      <c r="E96" s="2" t="s">
        <v>19</v>
      </c>
      <c r="F96" s="4" t="n">
        <v>47641.18</v>
      </c>
    </row>
    <row r="97" customFormat="false" ht="15" hidden="false" customHeight="false" outlineLevel="0" collapsed="false">
      <c r="A97" s="2" t="s">
        <v>210</v>
      </c>
      <c r="B97" s="3" t="n">
        <v>46114</v>
      </c>
      <c r="C97" s="2" t="s">
        <v>211</v>
      </c>
      <c r="D97" s="2" t="s">
        <v>8</v>
      </c>
      <c r="E97" s="2" t="s">
        <v>19</v>
      </c>
      <c r="F97" s="4" t="n">
        <v>231404.96</v>
      </c>
    </row>
    <row r="98" customFormat="false" ht="15" hidden="false" customHeight="false" outlineLevel="0" collapsed="false">
      <c r="A98" s="2" t="s">
        <v>212</v>
      </c>
      <c r="B98" s="3" t="n">
        <v>46130</v>
      </c>
      <c r="C98" s="2" t="s">
        <v>213</v>
      </c>
      <c r="D98" s="2" t="s">
        <v>32</v>
      </c>
      <c r="E98" s="2" t="s">
        <v>44</v>
      </c>
      <c r="F98" s="4" t="n">
        <v>17632.96</v>
      </c>
    </row>
    <row r="99" customFormat="false" ht="15" hidden="false" customHeight="false" outlineLevel="0" collapsed="false">
      <c r="A99" s="2" t="s">
        <v>214</v>
      </c>
      <c r="B99" s="3" t="n">
        <v>46134</v>
      </c>
      <c r="C99" s="2" t="s">
        <v>215</v>
      </c>
      <c r="D99" s="2" t="s">
        <v>32</v>
      </c>
      <c r="E99" s="2" t="s">
        <v>9</v>
      </c>
      <c r="F99" s="4" t="n">
        <v>212026.62</v>
      </c>
    </row>
    <row r="100" customFormat="false" ht="15" hidden="false" customHeight="false" outlineLevel="0" collapsed="false">
      <c r="A100" s="2" t="s">
        <v>216</v>
      </c>
      <c r="B100" s="3" t="n">
        <v>46136</v>
      </c>
      <c r="C100" s="2" t="s">
        <v>217</v>
      </c>
      <c r="D100" s="2" t="s">
        <v>63</v>
      </c>
      <c r="E100" s="2" t="s">
        <v>9</v>
      </c>
      <c r="F100" s="4" t="n">
        <v>102186.97</v>
      </c>
    </row>
    <row r="101" customFormat="false" ht="15" hidden="false" customHeight="false" outlineLevel="0" collapsed="false">
      <c r="A101" s="2" t="s">
        <v>218</v>
      </c>
      <c r="B101" s="3" t="n">
        <v>46125</v>
      </c>
      <c r="C101" s="2" t="s">
        <v>219</v>
      </c>
      <c r="D101" s="2" t="s">
        <v>25</v>
      </c>
      <c r="E101" s="2" t="s">
        <v>22</v>
      </c>
      <c r="F101" s="4" t="n">
        <v>105198.52</v>
      </c>
    </row>
    <row r="102" customFormat="false" ht="15" hidden="false" customHeight="false" outlineLevel="0" collapsed="false">
      <c r="A102" s="2" t="s">
        <v>220</v>
      </c>
      <c r="B102" s="3" t="n">
        <v>46125</v>
      </c>
      <c r="C102" s="2" t="s">
        <v>221</v>
      </c>
      <c r="D102" s="2" t="s">
        <v>63</v>
      </c>
      <c r="E102" s="2" t="s">
        <v>44</v>
      </c>
      <c r="F102" s="4" t="n">
        <v>137052.11</v>
      </c>
    </row>
    <row r="103" customFormat="false" ht="15" hidden="false" customHeight="false" outlineLevel="0" collapsed="false">
      <c r="A103" s="2" t="s">
        <v>222</v>
      </c>
      <c r="B103" s="3" t="n">
        <v>46113</v>
      </c>
      <c r="C103" s="2" t="s">
        <v>223</v>
      </c>
      <c r="D103" s="2" t="s">
        <v>63</v>
      </c>
      <c r="E103" s="2" t="s">
        <v>22</v>
      </c>
      <c r="F103" s="4" t="n">
        <v>107557.55</v>
      </c>
    </row>
    <row r="104" customFormat="false" ht="15" hidden="false" customHeight="false" outlineLevel="0" collapsed="false">
      <c r="A104" s="2" t="s">
        <v>224</v>
      </c>
      <c r="B104" s="3" t="n">
        <v>46131</v>
      </c>
      <c r="C104" s="2" t="s">
        <v>225</v>
      </c>
      <c r="D104" s="2" t="s">
        <v>32</v>
      </c>
      <c r="E104" s="2" t="s">
        <v>44</v>
      </c>
      <c r="F104" s="4" t="n">
        <v>110530.24</v>
      </c>
    </row>
    <row r="105" customFormat="false" ht="15" hidden="false" customHeight="false" outlineLevel="0" collapsed="false">
      <c r="A105" s="2" t="s">
        <v>226</v>
      </c>
      <c r="B105" s="3" t="n">
        <v>46134</v>
      </c>
      <c r="C105" s="2" t="s">
        <v>227</v>
      </c>
      <c r="D105" s="2" t="s">
        <v>35</v>
      </c>
      <c r="E105" s="2" t="s">
        <v>9</v>
      </c>
      <c r="F105" s="4" t="n">
        <v>42547.4</v>
      </c>
    </row>
    <row r="106" customFormat="false" ht="15" hidden="false" customHeight="false" outlineLevel="0" collapsed="false">
      <c r="A106" s="2" t="s">
        <v>228</v>
      </c>
      <c r="B106" s="3" t="n">
        <v>46115</v>
      </c>
      <c r="C106" s="2" t="s">
        <v>229</v>
      </c>
      <c r="D106" s="2" t="s">
        <v>32</v>
      </c>
      <c r="E106" s="2" t="s">
        <v>16</v>
      </c>
      <c r="F106" s="4" t="n">
        <v>204633.1</v>
      </c>
    </row>
    <row r="107" customFormat="false" ht="15" hidden="false" customHeight="false" outlineLevel="0" collapsed="false">
      <c r="A107" s="2" t="s">
        <v>230</v>
      </c>
      <c r="B107" s="3" t="n">
        <v>46137</v>
      </c>
      <c r="C107" s="2" t="s">
        <v>231</v>
      </c>
      <c r="D107" s="2" t="s">
        <v>63</v>
      </c>
      <c r="E107" s="2" t="s">
        <v>22</v>
      </c>
      <c r="F107" s="4" t="n">
        <v>201669.74</v>
      </c>
    </row>
    <row r="108" customFormat="false" ht="15" hidden="false" customHeight="false" outlineLevel="0" collapsed="false">
      <c r="A108" s="2" t="s">
        <v>232</v>
      </c>
      <c r="B108" s="3" t="n">
        <v>46117</v>
      </c>
      <c r="C108" s="2" t="s">
        <v>233</v>
      </c>
      <c r="D108" s="2" t="s">
        <v>8</v>
      </c>
      <c r="E108" s="2" t="s">
        <v>22</v>
      </c>
      <c r="F108" s="4" t="n">
        <v>245986.42</v>
      </c>
    </row>
    <row r="109" customFormat="false" ht="15" hidden="false" customHeight="false" outlineLevel="0" collapsed="false">
      <c r="A109" s="2" t="s">
        <v>234</v>
      </c>
      <c r="B109" s="3" t="n">
        <v>46132</v>
      </c>
      <c r="C109" s="2" t="s">
        <v>235</v>
      </c>
      <c r="D109" s="2" t="s">
        <v>35</v>
      </c>
      <c r="E109" s="2" t="s">
        <v>44</v>
      </c>
      <c r="F109" s="4" t="n">
        <v>221551.31</v>
      </c>
    </row>
    <row r="110" customFormat="false" ht="15" hidden="false" customHeight="false" outlineLevel="0" collapsed="false">
      <c r="A110" s="2" t="s">
        <v>236</v>
      </c>
      <c r="B110" s="3" t="n">
        <v>46131</v>
      </c>
      <c r="C110" s="2" t="s">
        <v>237</v>
      </c>
      <c r="D110" s="2" t="s">
        <v>15</v>
      </c>
      <c r="E110" s="2" t="s">
        <v>44</v>
      </c>
      <c r="F110" s="4" t="n">
        <v>100003.27</v>
      </c>
    </row>
    <row r="111" customFormat="false" ht="15" hidden="false" customHeight="false" outlineLevel="0" collapsed="false">
      <c r="A111" s="2" t="s">
        <v>238</v>
      </c>
      <c r="B111" s="3" t="n">
        <v>46117</v>
      </c>
      <c r="C111" s="2" t="s">
        <v>239</v>
      </c>
      <c r="D111" s="2" t="s">
        <v>8</v>
      </c>
      <c r="E111" s="2" t="s">
        <v>16</v>
      </c>
      <c r="F111" s="4" t="n">
        <v>194638.34</v>
      </c>
    </row>
    <row r="112" customFormat="false" ht="15" hidden="false" customHeight="false" outlineLevel="0" collapsed="false">
      <c r="A112" s="2" t="s">
        <v>240</v>
      </c>
      <c r="B112" s="3" t="n">
        <v>46120</v>
      </c>
      <c r="C112" s="2" t="s">
        <v>241</v>
      </c>
      <c r="D112" s="2" t="s">
        <v>35</v>
      </c>
      <c r="E112" s="2" t="s">
        <v>16</v>
      </c>
      <c r="F112" s="4" t="n">
        <v>139417.84</v>
      </c>
    </row>
    <row r="113" customFormat="false" ht="15" hidden="false" customHeight="false" outlineLevel="0" collapsed="false">
      <c r="A113" s="2" t="s">
        <v>242</v>
      </c>
      <c r="B113" s="3" t="n">
        <v>46142</v>
      </c>
      <c r="C113" s="2" t="s">
        <v>243</v>
      </c>
      <c r="D113" s="2" t="s">
        <v>35</v>
      </c>
      <c r="E113" s="2" t="s">
        <v>22</v>
      </c>
      <c r="F113" s="4" t="n">
        <v>200383.94</v>
      </c>
    </row>
    <row r="114" customFormat="false" ht="15" hidden="false" customHeight="false" outlineLevel="0" collapsed="false">
      <c r="A114" s="2" t="s">
        <v>244</v>
      </c>
      <c r="B114" s="3" t="n">
        <v>46134</v>
      </c>
      <c r="C114" s="2" t="s">
        <v>245</v>
      </c>
      <c r="D114" s="2" t="s">
        <v>32</v>
      </c>
      <c r="E114" s="2" t="s">
        <v>44</v>
      </c>
      <c r="F114" s="4" t="n">
        <v>153221.18</v>
      </c>
    </row>
    <row r="115" customFormat="false" ht="15" hidden="false" customHeight="false" outlineLevel="0" collapsed="false">
      <c r="A115" s="2" t="s">
        <v>246</v>
      </c>
      <c r="B115" s="3" t="n">
        <v>46136</v>
      </c>
      <c r="C115" s="2" t="s">
        <v>247</v>
      </c>
      <c r="D115" s="2" t="s">
        <v>15</v>
      </c>
      <c r="E115" s="2" t="s">
        <v>19</v>
      </c>
      <c r="F115" s="4" t="n">
        <v>111561.52</v>
      </c>
    </row>
    <row r="116" customFormat="false" ht="15" hidden="false" customHeight="false" outlineLevel="0" collapsed="false">
      <c r="A116" s="2" t="s">
        <v>248</v>
      </c>
      <c r="B116" s="3" t="n">
        <v>46118</v>
      </c>
      <c r="C116" s="2" t="s">
        <v>249</v>
      </c>
      <c r="D116" s="2" t="s">
        <v>35</v>
      </c>
      <c r="E116" s="2" t="s">
        <v>29</v>
      </c>
      <c r="F116" s="4" t="n">
        <v>187981.43</v>
      </c>
    </row>
    <row r="117" customFormat="false" ht="15" hidden="false" customHeight="false" outlineLevel="0" collapsed="false">
      <c r="A117" s="2" t="s">
        <v>250</v>
      </c>
      <c r="B117" s="3" t="n">
        <v>46139</v>
      </c>
      <c r="C117" s="2" t="s">
        <v>251</v>
      </c>
      <c r="D117" s="2" t="s">
        <v>63</v>
      </c>
      <c r="E117" s="2" t="s">
        <v>19</v>
      </c>
      <c r="F117" s="4" t="n">
        <v>121226.56</v>
      </c>
    </row>
    <row r="118" customFormat="false" ht="15" hidden="false" customHeight="false" outlineLevel="0" collapsed="false">
      <c r="A118" s="2" t="s">
        <v>252</v>
      </c>
      <c r="B118" s="3" t="n">
        <v>46120</v>
      </c>
      <c r="C118" s="2" t="s">
        <v>253</v>
      </c>
      <c r="D118" s="2" t="s">
        <v>35</v>
      </c>
      <c r="E118" s="2" t="s">
        <v>16</v>
      </c>
      <c r="F118" s="4" t="n">
        <v>178429.18</v>
      </c>
    </row>
    <row r="119" customFormat="false" ht="15" hidden="false" customHeight="false" outlineLevel="0" collapsed="false">
      <c r="A119" s="2" t="s">
        <v>254</v>
      </c>
      <c r="B119" s="3" t="n">
        <v>46120</v>
      </c>
      <c r="C119" s="2" t="s">
        <v>255</v>
      </c>
      <c r="D119" s="2" t="s">
        <v>32</v>
      </c>
      <c r="E119" s="2" t="s">
        <v>29</v>
      </c>
      <c r="F119" s="4" t="n">
        <v>223272.75</v>
      </c>
    </row>
    <row r="120" customFormat="false" ht="15" hidden="false" customHeight="false" outlineLevel="0" collapsed="false">
      <c r="A120" s="2" t="s">
        <v>256</v>
      </c>
      <c r="B120" s="3" t="n">
        <v>46115</v>
      </c>
      <c r="C120" s="2" t="s">
        <v>257</v>
      </c>
      <c r="D120" s="2" t="s">
        <v>25</v>
      </c>
      <c r="E120" s="2" t="s">
        <v>22</v>
      </c>
      <c r="F120" s="4" t="n">
        <v>95851.37</v>
      </c>
    </row>
    <row r="121" customFormat="false" ht="15" hidden="false" customHeight="false" outlineLevel="0" collapsed="false">
      <c r="A121" s="2" t="s">
        <v>258</v>
      </c>
      <c r="B121" s="3" t="n">
        <v>46117</v>
      </c>
      <c r="C121" s="2" t="s">
        <v>259</v>
      </c>
      <c r="D121" s="2" t="s">
        <v>12</v>
      </c>
      <c r="E121" s="2" t="s">
        <v>44</v>
      </c>
      <c r="F121" s="4" t="n">
        <v>101988.7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122</v>
      </c>
      <c r="B2" s="3" t="n">
        <v>46133</v>
      </c>
      <c r="C2" s="2" t="s">
        <v>123</v>
      </c>
      <c r="D2" s="2" t="s">
        <v>8</v>
      </c>
      <c r="E2" s="2" t="s">
        <v>16</v>
      </c>
      <c r="F2" s="4" t="n">
        <v>231602.79</v>
      </c>
    </row>
    <row r="3" customFormat="false" ht="15" hidden="false" customHeight="false" outlineLevel="0" collapsed="false">
      <c r="A3" s="2" t="s">
        <v>142</v>
      </c>
      <c r="B3" s="3" t="n">
        <v>46132</v>
      </c>
      <c r="C3" s="2" t="s">
        <v>143</v>
      </c>
      <c r="D3" s="2" t="s">
        <v>15</v>
      </c>
      <c r="E3" s="2" t="s">
        <v>9</v>
      </c>
      <c r="F3" s="4" t="n">
        <v>145980.52</v>
      </c>
    </row>
    <row r="4" customFormat="false" ht="15" hidden="false" customHeight="false" outlineLevel="0" collapsed="false">
      <c r="A4" s="2" t="s">
        <v>226</v>
      </c>
      <c r="B4" s="3" t="n">
        <v>46134</v>
      </c>
      <c r="C4" s="2" t="s">
        <v>227</v>
      </c>
      <c r="D4" s="2" t="s">
        <v>35</v>
      </c>
      <c r="E4" s="2" t="s">
        <v>9</v>
      </c>
      <c r="F4" s="4" t="n">
        <v>42547.4</v>
      </c>
    </row>
    <row r="5" customFormat="false" ht="15" hidden="false" customHeight="false" outlineLevel="0" collapsed="false">
      <c r="A5" s="2" t="s">
        <v>112</v>
      </c>
      <c r="B5" s="3" t="n">
        <v>46126</v>
      </c>
      <c r="C5" s="2" t="s">
        <v>113</v>
      </c>
      <c r="D5" s="2" t="s">
        <v>15</v>
      </c>
      <c r="E5" s="2" t="s">
        <v>44</v>
      </c>
      <c r="F5" s="4" t="n">
        <v>116836.11</v>
      </c>
    </row>
    <row r="6" customFormat="false" ht="15" hidden="false" customHeight="false" outlineLevel="0" collapsed="false">
      <c r="A6" s="2" t="s">
        <v>246</v>
      </c>
      <c r="B6" s="3" t="n">
        <v>46136</v>
      </c>
      <c r="C6" s="2" t="s">
        <v>247</v>
      </c>
      <c r="D6" s="2" t="s">
        <v>15</v>
      </c>
      <c r="E6" s="2" t="s">
        <v>19</v>
      </c>
      <c r="F6" s="4" t="n">
        <v>111561.52</v>
      </c>
    </row>
    <row r="7" customFormat="false" ht="15" hidden="false" customHeight="false" outlineLevel="0" collapsed="false">
      <c r="A7" s="2" t="s">
        <v>134</v>
      </c>
      <c r="B7" s="3" t="n">
        <v>46114</v>
      </c>
      <c r="C7" s="2" t="s">
        <v>135</v>
      </c>
      <c r="D7" s="2" t="s">
        <v>35</v>
      </c>
      <c r="E7" s="2" t="s">
        <v>19</v>
      </c>
      <c r="F7" s="4" t="n">
        <v>229858.87</v>
      </c>
    </row>
    <row r="8" customFormat="false" ht="15" hidden="false" customHeight="false" outlineLevel="0" collapsed="false">
      <c r="A8" s="2" t="s">
        <v>168</v>
      </c>
      <c r="B8" s="3" t="n">
        <v>46140</v>
      </c>
      <c r="C8" s="2" t="s">
        <v>169</v>
      </c>
      <c r="D8" s="2" t="s">
        <v>12</v>
      </c>
      <c r="E8" s="2" t="s">
        <v>9</v>
      </c>
      <c r="F8" s="4" t="n">
        <v>105980.41</v>
      </c>
    </row>
    <row r="9" customFormat="false" ht="15" hidden="false" customHeight="false" outlineLevel="0" collapsed="false">
      <c r="A9" s="2" t="s">
        <v>78</v>
      </c>
      <c r="B9" s="3" t="n">
        <v>46136</v>
      </c>
      <c r="C9" s="2" t="s">
        <v>79</v>
      </c>
      <c r="D9" s="2" t="s">
        <v>25</v>
      </c>
      <c r="E9" s="2" t="s">
        <v>19</v>
      </c>
      <c r="F9" s="4" t="n">
        <v>228170.07</v>
      </c>
    </row>
    <row r="10" customFormat="false" ht="15" hidden="false" customHeight="false" outlineLevel="0" collapsed="false">
      <c r="A10" s="2" t="s">
        <v>10</v>
      </c>
      <c r="B10" s="3" t="n">
        <v>46120</v>
      </c>
      <c r="C10" s="2" t="s">
        <v>11</v>
      </c>
      <c r="D10" s="2" t="s">
        <v>12</v>
      </c>
      <c r="E10" s="2" t="s">
        <v>9</v>
      </c>
      <c r="F10" s="4" t="n">
        <v>185205.84</v>
      </c>
    </row>
    <row r="11" customFormat="false" ht="15" hidden="false" customHeight="false" outlineLevel="0" collapsed="false">
      <c r="A11" s="2" t="s">
        <v>150</v>
      </c>
      <c r="B11" s="3" t="n">
        <v>46142</v>
      </c>
      <c r="C11" s="2" t="s">
        <v>151</v>
      </c>
      <c r="D11" s="2" t="s">
        <v>8</v>
      </c>
      <c r="E11" s="2" t="s">
        <v>44</v>
      </c>
      <c r="F11" s="4" t="n">
        <v>155346.64</v>
      </c>
    </row>
    <row r="12" customFormat="false" ht="15" hidden="false" customHeight="false" outlineLevel="0" collapsed="false">
      <c r="A12" s="2" t="s">
        <v>104</v>
      </c>
      <c r="B12" s="3" t="n">
        <v>46114</v>
      </c>
      <c r="C12" s="2" t="s">
        <v>105</v>
      </c>
      <c r="D12" s="2" t="s">
        <v>12</v>
      </c>
      <c r="E12" s="2" t="s">
        <v>19</v>
      </c>
      <c r="F12" s="4" t="n">
        <v>59615.46</v>
      </c>
    </row>
    <row r="13" customFormat="false" ht="15" hidden="false" customHeight="false" outlineLevel="0" collapsed="false">
      <c r="A13" s="2" t="s">
        <v>144</v>
      </c>
      <c r="B13" s="3" t="n">
        <v>46129</v>
      </c>
      <c r="C13" s="2" t="s">
        <v>145</v>
      </c>
      <c r="D13" s="2" t="s">
        <v>63</v>
      </c>
      <c r="E13" s="2" t="s">
        <v>22</v>
      </c>
      <c r="F13" s="4" t="n">
        <v>167481.03</v>
      </c>
    </row>
    <row r="14" customFormat="false" ht="15" hidden="false" customHeight="false" outlineLevel="0" collapsed="false">
      <c r="A14" s="2" t="s">
        <v>36</v>
      </c>
      <c r="B14" s="3" t="n">
        <v>46142</v>
      </c>
      <c r="C14" s="2" t="s">
        <v>37</v>
      </c>
      <c r="D14" s="2" t="s">
        <v>12</v>
      </c>
      <c r="E14" s="2" t="s">
        <v>19</v>
      </c>
      <c r="F14" s="4" t="n">
        <v>73400.59</v>
      </c>
    </row>
    <row r="15" customFormat="false" ht="15" hidden="false" customHeight="false" outlineLevel="0" collapsed="false">
      <c r="A15" s="2" t="s">
        <v>40</v>
      </c>
      <c r="B15" s="3" t="n">
        <v>46115</v>
      </c>
      <c r="C15" s="2" t="s">
        <v>41</v>
      </c>
      <c r="D15" s="2" t="s">
        <v>28</v>
      </c>
      <c r="E15" s="2" t="s">
        <v>29</v>
      </c>
      <c r="F15" s="4" t="n">
        <v>246307.6</v>
      </c>
    </row>
    <row r="16" customFormat="false" ht="15" hidden="false" customHeight="false" outlineLevel="0" collapsed="false">
      <c r="A16" s="2" t="s">
        <v>55</v>
      </c>
      <c r="B16" s="3" t="n">
        <v>46125</v>
      </c>
      <c r="C16" s="2" t="s">
        <v>56</v>
      </c>
      <c r="D16" s="2" t="s">
        <v>12</v>
      </c>
      <c r="E16" s="2" t="s">
        <v>22</v>
      </c>
      <c r="F16" s="4" t="n">
        <v>228297.06</v>
      </c>
    </row>
    <row r="17" customFormat="false" ht="15" hidden="false" customHeight="false" outlineLevel="0" collapsed="false">
      <c r="A17" s="2" t="s">
        <v>68</v>
      </c>
      <c r="B17" s="3" t="n">
        <v>46140</v>
      </c>
      <c r="C17" s="2" t="s">
        <v>69</v>
      </c>
      <c r="D17" s="2" t="s">
        <v>25</v>
      </c>
      <c r="E17" s="2" t="s">
        <v>9</v>
      </c>
      <c r="F17" s="4" t="n">
        <v>40121.5</v>
      </c>
    </row>
    <row r="18" customFormat="false" ht="15" hidden="false" customHeight="false" outlineLevel="0" collapsed="false">
      <c r="A18" s="2" t="s">
        <v>164</v>
      </c>
      <c r="B18" s="3" t="n">
        <v>46119</v>
      </c>
      <c r="C18" s="2" t="s">
        <v>165</v>
      </c>
      <c r="D18" s="2" t="s">
        <v>28</v>
      </c>
      <c r="E18" s="2" t="s">
        <v>9</v>
      </c>
      <c r="F18" s="4" t="n">
        <v>158614.35</v>
      </c>
    </row>
    <row r="19" customFormat="false" ht="15" hidden="false" customHeight="false" outlineLevel="0" collapsed="false">
      <c r="A19" s="2" t="s">
        <v>130</v>
      </c>
      <c r="B19" s="3" t="n">
        <v>46136</v>
      </c>
      <c r="C19" s="2" t="s">
        <v>131</v>
      </c>
      <c r="D19" s="2" t="s">
        <v>35</v>
      </c>
      <c r="E19" s="2" t="s">
        <v>22</v>
      </c>
      <c r="F19" s="4" t="n">
        <v>47595.98</v>
      </c>
    </row>
    <row r="20" customFormat="false" ht="15" hidden="false" customHeight="false" outlineLevel="0" collapsed="false">
      <c r="A20" s="2" t="s">
        <v>258</v>
      </c>
      <c r="B20" s="3" t="n">
        <v>46117</v>
      </c>
      <c r="C20" s="2" t="s">
        <v>259</v>
      </c>
      <c r="D20" s="2" t="s">
        <v>12</v>
      </c>
      <c r="E20" s="2" t="s">
        <v>44</v>
      </c>
      <c r="F20" s="4" t="n">
        <v>101988.7</v>
      </c>
    </row>
    <row r="21" customFormat="false" ht="15" hidden="false" customHeight="false" outlineLevel="0" collapsed="false">
      <c r="A21" s="2" t="s">
        <v>120</v>
      </c>
      <c r="B21" s="3" t="n">
        <v>46120</v>
      </c>
      <c r="C21" s="2" t="s">
        <v>121</v>
      </c>
      <c r="D21" s="2" t="s">
        <v>35</v>
      </c>
      <c r="E21" s="2" t="s">
        <v>19</v>
      </c>
      <c r="F21" s="4" t="n">
        <v>24612.5</v>
      </c>
    </row>
    <row r="22" customFormat="false" ht="15" hidden="false" customHeight="false" outlineLevel="0" collapsed="false">
      <c r="A22" s="2" t="s">
        <v>200</v>
      </c>
      <c r="B22" s="3" t="n">
        <v>46121</v>
      </c>
      <c r="C22" s="2" t="s">
        <v>201</v>
      </c>
      <c r="D22" s="2" t="s">
        <v>15</v>
      </c>
      <c r="E22" s="2" t="s">
        <v>9</v>
      </c>
      <c r="F22" s="4" t="n">
        <v>245290.25</v>
      </c>
    </row>
    <row r="23" customFormat="false" ht="15" hidden="false" customHeight="false" outlineLevel="0" collapsed="false">
      <c r="A23" s="2" t="s">
        <v>186</v>
      </c>
      <c r="B23" s="3" t="n">
        <v>46138</v>
      </c>
      <c r="C23" s="2" t="s">
        <v>187</v>
      </c>
      <c r="D23" s="2" t="s">
        <v>15</v>
      </c>
      <c r="E23" s="2" t="s">
        <v>16</v>
      </c>
      <c r="F23" s="4" t="n">
        <v>44963.26</v>
      </c>
    </row>
    <row r="24" customFormat="false" ht="15" hidden="false" customHeight="false" outlineLevel="0" collapsed="false">
      <c r="A24" s="2" t="s">
        <v>180</v>
      </c>
      <c r="B24" s="3" t="n">
        <v>46141</v>
      </c>
      <c r="C24" s="2" t="s">
        <v>181</v>
      </c>
      <c r="D24" s="2" t="s">
        <v>32</v>
      </c>
      <c r="E24" s="2" t="s">
        <v>22</v>
      </c>
      <c r="F24" s="4" t="n">
        <v>170564.36</v>
      </c>
    </row>
    <row r="25" customFormat="false" ht="15" hidden="false" customHeight="false" outlineLevel="0" collapsed="false">
      <c r="A25" s="2" t="s">
        <v>196</v>
      </c>
      <c r="B25" s="3" t="n">
        <v>46140</v>
      </c>
      <c r="C25" s="2" t="s">
        <v>197</v>
      </c>
      <c r="D25" s="2" t="s">
        <v>28</v>
      </c>
      <c r="E25" s="2" t="s">
        <v>16</v>
      </c>
      <c r="F25" s="4" t="n">
        <v>165059.29</v>
      </c>
    </row>
    <row r="26" customFormat="false" ht="15" hidden="false" customHeight="false" outlineLevel="0" collapsed="false">
      <c r="A26" s="2" t="s">
        <v>152</v>
      </c>
      <c r="B26" s="3" t="n">
        <v>46131</v>
      </c>
      <c r="C26" s="2" t="s">
        <v>153</v>
      </c>
      <c r="D26" s="2" t="s">
        <v>12</v>
      </c>
      <c r="E26" s="2" t="s">
        <v>19</v>
      </c>
      <c r="F26" s="4" t="n">
        <v>53406.6</v>
      </c>
    </row>
    <row r="27" customFormat="false" ht="15" hidden="false" customHeight="false" outlineLevel="0" collapsed="false">
      <c r="A27" s="2" t="s">
        <v>148</v>
      </c>
      <c r="B27" s="3" t="n">
        <v>46133</v>
      </c>
      <c r="C27" s="2" t="s">
        <v>149</v>
      </c>
      <c r="D27" s="2" t="s">
        <v>35</v>
      </c>
      <c r="E27" s="2" t="s">
        <v>29</v>
      </c>
      <c r="F27" s="4" t="n">
        <v>232265.23</v>
      </c>
    </row>
    <row r="28" customFormat="false" ht="15" hidden="false" customHeight="false" outlineLevel="0" collapsed="false">
      <c r="A28" s="2" t="s">
        <v>146</v>
      </c>
      <c r="B28" s="3" t="n">
        <v>46123</v>
      </c>
      <c r="C28" s="2" t="s">
        <v>147</v>
      </c>
      <c r="D28" s="2" t="s">
        <v>63</v>
      </c>
      <c r="E28" s="2" t="s">
        <v>44</v>
      </c>
      <c r="F28" s="4" t="n">
        <v>32849.94</v>
      </c>
    </row>
    <row r="29" customFormat="false" ht="15" hidden="false" customHeight="false" outlineLevel="0" collapsed="false">
      <c r="A29" s="2" t="s">
        <v>212</v>
      </c>
      <c r="B29" s="3" t="n">
        <v>46130</v>
      </c>
      <c r="C29" s="2" t="s">
        <v>213</v>
      </c>
      <c r="D29" s="2" t="s">
        <v>32</v>
      </c>
      <c r="E29" s="2" t="s">
        <v>44</v>
      </c>
      <c r="F29" s="4" t="n">
        <v>17632.96</v>
      </c>
    </row>
    <row r="30" customFormat="false" ht="15" hidden="false" customHeight="false" outlineLevel="0" collapsed="false">
      <c r="A30" s="2" t="s">
        <v>228</v>
      </c>
      <c r="B30" s="3" t="n">
        <v>46115</v>
      </c>
      <c r="C30" s="2" t="s">
        <v>229</v>
      </c>
      <c r="D30" s="2" t="s">
        <v>32</v>
      </c>
      <c r="E30" s="2" t="s">
        <v>16</v>
      </c>
      <c r="F30" s="4" t="n">
        <v>204633.1</v>
      </c>
    </row>
    <row r="31" customFormat="false" ht="15" hidden="false" customHeight="false" outlineLevel="0" collapsed="false">
      <c r="A31" s="2" t="s">
        <v>204</v>
      </c>
      <c r="B31" s="3" t="n">
        <v>46121</v>
      </c>
      <c r="C31" s="2" t="s">
        <v>205</v>
      </c>
      <c r="D31" s="2" t="s">
        <v>63</v>
      </c>
      <c r="E31" s="2" t="s">
        <v>16</v>
      </c>
      <c r="F31" s="4" t="n">
        <v>27234.38</v>
      </c>
    </row>
    <row r="32" customFormat="false" ht="15" hidden="false" customHeight="false" outlineLevel="0" collapsed="false">
      <c r="A32" s="2" t="s">
        <v>156</v>
      </c>
      <c r="B32" s="3" t="n">
        <v>46124</v>
      </c>
      <c r="C32" s="2" t="s">
        <v>157</v>
      </c>
      <c r="D32" s="2" t="s">
        <v>25</v>
      </c>
      <c r="E32" s="2" t="s">
        <v>44</v>
      </c>
      <c r="F32" s="4" t="n">
        <v>208461.18</v>
      </c>
    </row>
    <row r="33" customFormat="false" ht="15" hidden="false" customHeight="false" outlineLevel="0" collapsed="false">
      <c r="A33" s="2" t="s">
        <v>260</v>
      </c>
      <c r="B33" s="3" t="n">
        <v>46120</v>
      </c>
      <c r="C33" s="2" t="s">
        <v>261</v>
      </c>
      <c r="D33" s="2" t="s">
        <v>28</v>
      </c>
      <c r="E33" s="2" t="s">
        <v>29</v>
      </c>
      <c r="F33" s="4" t="n">
        <v>35148.96</v>
      </c>
    </row>
    <row r="34" customFormat="false" ht="15" hidden="false" customHeight="false" outlineLevel="0" collapsed="false">
      <c r="A34" s="2" t="s">
        <v>236</v>
      </c>
      <c r="B34" s="3" t="n">
        <v>46131</v>
      </c>
      <c r="C34" s="2" t="s">
        <v>237</v>
      </c>
      <c r="D34" s="2" t="s">
        <v>15</v>
      </c>
      <c r="E34" s="2" t="s">
        <v>44</v>
      </c>
      <c r="F34" s="4" t="n">
        <v>100003.27</v>
      </c>
    </row>
    <row r="35" customFormat="false" ht="15" hidden="false" customHeight="false" outlineLevel="0" collapsed="false">
      <c r="A35" s="2" t="s">
        <v>124</v>
      </c>
      <c r="B35" s="3" t="n">
        <v>46140</v>
      </c>
      <c r="C35" s="2" t="s">
        <v>125</v>
      </c>
      <c r="D35" s="2" t="s">
        <v>25</v>
      </c>
      <c r="E35" s="2" t="s">
        <v>44</v>
      </c>
      <c r="F35" s="4" t="n">
        <v>121487.44</v>
      </c>
    </row>
    <row r="36" customFormat="false" ht="15" hidden="false" customHeight="false" outlineLevel="0" collapsed="false">
      <c r="A36" s="2" t="s">
        <v>192</v>
      </c>
      <c r="B36" s="3" t="n">
        <v>46116</v>
      </c>
      <c r="C36" s="2" t="s">
        <v>193</v>
      </c>
      <c r="D36" s="2" t="s">
        <v>8</v>
      </c>
      <c r="E36" s="2" t="s">
        <v>44</v>
      </c>
      <c r="F36" s="4" t="n">
        <v>55725.06</v>
      </c>
    </row>
    <row r="37" customFormat="false" ht="15" hidden="false" customHeight="false" outlineLevel="0" collapsed="false">
      <c r="A37" s="2" t="s">
        <v>72</v>
      </c>
      <c r="B37" s="3" t="n">
        <v>46127</v>
      </c>
      <c r="C37" s="2" t="s">
        <v>73</v>
      </c>
      <c r="D37" s="2" t="s">
        <v>63</v>
      </c>
      <c r="E37" s="2" t="s">
        <v>19</v>
      </c>
      <c r="F37" s="4" t="n">
        <v>217350.9</v>
      </c>
    </row>
    <row r="38" customFormat="false" ht="15" hidden="false" customHeight="false" outlineLevel="0" collapsed="false">
      <c r="A38" s="2" t="s">
        <v>6</v>
      </c>
      <c r="B38" s="3" t="n">
        <v>46133</v>
      </c>
      <c r="C38" s="2" t="s">
        <v>7</v>
      </c>
      <c r="D38" s="2" t="s">
        <v>8</v>
      </c>
      <c r="E38" s="2" t="s">
        <v>9</v>
      </c>
      <c r="F38" s="4" t="n">
        <v>68866.08</v>
      </c>
    </row>
    <row r="39" customFormat="false" ht="15" hidden="false" customHeight="false" outlineLevel="0" collapsed="false">
      <c r="A39" s="2" t="s">
        <v>162</v>
      </c>
      <c r="B39" s="3" t="n">
        <v>46141</v>
      </c>
      <c r="C39" s="2" t="s">
        <v>163</v>
      </c>
      <c r="D39" s="2" t="s">
        <v>25</v>
      </c>
      <c r="E39" s="2" t="s">
        <v>29</v>
      </c>
      <c r="F39" s="4" t="n">
        <v>70546.8</v>
      </c>
    </row>
    <row r="40" customFormat="false" ht="15" hidden="false" customHeight="false" outlineLevel="0" collapsed="false">
      <c r="A40" s="2" t="s">
        <v>172</v>
      </c>
      <c r="B40" s="3" t="n">
        <v>46133</v>
      </c>
      <c r="C40" s="2" t="s">
        <v>173</v>
      </c>
      <c r="D40" s="2" t="s">
        <v>25</v>
      </c>
      <c r="E40" s="2" t="s">
        <v>9</v>
      </c>
      <c r="F40" s="4" t="n">
        <v>110542.6</v>
      </c>
    </row>
    <row r="41" customFormat="false" ht="15" hidden="false" customHeight="false" outlineLevel="0" collapsed="false">
      <c r="A41" s="2" t="s">
        <v>238</v>
      </c>
      <c r="B41" s="3" t="n">
        <v>46117</v>
      </c>
      <c r="C41" s="2" t="s">
        <v>239</v>
      </c>
      <c r="D41" s="2" t="s">
        <v>8</v>
      </c>
      <c r="E41" s="2" t="s">
        <v>16</v>
      </c>
      <c r="F41" s="4" t="n">
        <v>194638.34</v>
      </c>
    </row>
    <row r="42" customFormat="false" ht="15" hidden="false" customHeight="false" outlineLevel="0" collapsed="false">
      <c r="A42" s="2" t="s">
        <v>252</v>
      </c>
      <c r="B42" s="3" t="n">
        <v>46120</v>
      </c>
      <c r="C42" s="2" t="s">
        <v>253</v>
      </c>
      <c r="D42" s="2" t="s">
        <v>35</v>
      </c>
      <c r="E42" s="2" t="s">
        <v>16</v>
      </c>
      <c r="F42" s="4" t="n">
        <v>178429.18</v>
      </c>
    </row>
    <row r="43" customFormat="false" ht="15" hidden="false" customHeight="false" outlineLevel="0" collapsed="false">
      <c r="A43" s="2" t="s">
        <v>170</v>
      </c>
      <c r="B43" s="3" t="n">
        <v>46121</v>
      </c>
      <c r="C43" s="2" t="s">
        <v>171</v>
      </c>
      <c r="D43" s="2" t="s">
        <v>8</v>
      </c>
      <c r="E43" s="2" t="s">
        <v>29</v>
      </c>
      <c r="F43" s="4" t="n">
        <v>192814.14</v>
      </c>
    </row>
    <row r="44" customFormat="false" ht="15" hidden="false" customHeight="false" outlineLevel="0" collapsed="false">
      <c r="A44" s="2" t="s">
        <v>88</v>
      </c>
      <c r="B44" s="3" t="n">
        <v>46120</v>
      </c>
      <c r="C44" s="2" t="s">
        <v>89</v>
      </c>
      <c r="D44" s="2" t="s">
        <v>12</v>
      </c>
      <c r="E44" s="2" t="s">
        <v>16</v>
      </c>
      <c r="F44" s="4" t="n">
        <v>183017.11</v>
      </c>
    </row>
    <row r="45" customFormat="false" ht="15" hidden="false" customHeight="false" outlineLevel="0" collapsed="false">
      <c r="A45" s="2" t="s">
        <v>64</v>
      </c>
      <c r="B45" s="3" t="n">
        <v>46141</v>
      </c>
      <c r="C45" s="2" t="s">
        <v>65</v>
      </c>
      <c r="D45" s="2" t="s">
        <v>15</v>
      </c>
      <c r="E45" s="2" t="s">
        <v>29</v>
      </c>
      <c r="F45" s="4" t="n">
        <v>54947.29</v>
      </c>
    </row>
    <row r="46" customFormat="false" ht="15" hidden="false" customHeight="false" outlineLevel="0" collapsed="false">
      <c r="A46" s="2" t="s">
        <v>262</v>
      </c>
      <c r="B46" s="3" t="n">
        <v>46113</v>
      </c>
      <c r="C46" s="2" t="s">
        <v>263</v>
      </c>
      <c r="D46" s="2" t="s">
        <v>32</v>
      </c>
      <c r="E46" s="2" t="s">
        <v>9</v>
      </c>
      <c r="F46" s="4" t="n">
        <v>54491.78</v>
      </c>
    </row>
    <row r="47" customFormat="false" ht="15" hidden="false" customHeight="false" outlineLevel="0" collapsed="false">
      <c r="A47" s="2" t="s">
        <v>92</v>
      </c>
      <c r="B47" s="3" t="n">
        <v>46130</v>
      </c>
      <c r="C47" s="2" t="s">
        <v>93</v>
      </c>
      <c r="D47" s="2" t="s">
        <v>63</v>
      </c>
      <c r="E47" s="2" t="s">
        <v>19</v>
      </c>
      <c r="F47" s="4" t="n">
        <v>218127.4</v>
      </c>
    </row>
    <row r="48" customFormat="false" ht="15" hidden="false" customHeight="false" outlineLevel="0" collapsed="false">
      <c r="A48" s="2" t="s">
        <v>30</v>
      </c>
      <c r="B48" s="3" t="n">
        <v>46125</v>
      </c>
      <c r="C48" s="2" t="s">
        <v>31</v>
      </c>
      <c r="D48" s="2" t="s">
        <v>32</v>
      </c>
      <c r="E48" s="2" t="s">
        <v>29</v>
      </c>
      <c r="F48" s="4" t="n">
        <v>151744.5</v>
      </c>
    </row>
    <row r="49" customFormat="false" ht="15" hidden="false" customHeight="false" outlineLevel="0" collapsed="false">
      <c r="A49" s="2" t="s">
        <v>96</v>
      </c>
      <c r="B49" s="3" t="n">
        <v>46134</v>
      </c>
      <c r="C49" s="2" t="s">
        <v>97</v>
      </c>
      <c r="D49" s="2" t="s">
        <v>32</v>
      </c>
      <c r="E49" s="2" t="s">
        <v>44</v>
      </c>
      <c r="F49" s="4" t="n">
        <v>224918.58</v>
      </c>
    </row>
    <row r="50" customFormat="false" ht="15" hidden="false" customHeight="false" outlineLevel="0" collapsed="false">
      <c r="A50" s="2" t="s">
        <v>234</v>
      </c>
      <c r="B50" s="3" t="n">
        <v>46132</v>
      </c>
      <c r="C50" s="2" t="s">
        <v>235</v>
      </c>
      <c r="D50" s="2" t="s">
        <v>35</v>
      </c>
      <c r="E50" s="2" t="s">
        <v>44</v>
      </c>
      <c r="F50" s="4" t="n">
        <v>221551.31</v>
      </c>
    </row>
    <row r="51" customFormat="false" ht="15" hidden="false" customHeight="false" outlineLevel="0" collapsed="false">
      <c r="A51" s="2" t="s">
        <v>184</v>
      </c>
      <c r="B51" s="3" t="n">
        <v>46126</v>
      </c>
      <c r="C51" s="2" t="s">
        <v>185</v>
      </c>
      <c r="D51" s="2" t="s">
        <v>25</v>
      </c>
      <c r="E51" s="2" t="s">
        <v>22</v>
      </c>
      <c r="F51" s="4" t="n">
        <v>216171.73</v>
      </c>
    </row>
    <row r="52" customFormat="false" ht="15" hidden="false" customHeight="false" outlineLevel="0" collapsed="false">
      <c r="A52" s="2" t="s">
        <v>118</v>
      </c>
      <c r="B52" s="3" t="n">
        <v>46127</v>
      </c>
      <c r="C52" s="2" t="s">
        <v>119</v>
      </c>
      <c r="D52" s="2" t="s">
        <v>15</v>
      </c>
      <c r="E52" s="2" t="s">
        <v>22</v>
      </c>
      <c r="F52" s="4" t="n">
        <v>69744.5</v>
      </c>
    </row>
    <row r="53" customFormat="false" ht="15" hidden="false" customHeight="false" outlineLevel="0" collapsed="false">
      <c r="A53" s="2" t="s">
        <v>132</v>
      </c>
      <c r="B53" s="3" t="n">
        <v>46119</v>
      </c>
      <c r="C53" s="2" t="s">
        <v>133</v>
      </c>
      <c r="D53" s="2" t="s">
        <v>8</v>
      </c>
      <c r="E53" s="2" t="s">
        <v>9</v>
      </c>
      <c r="F53" s="4" t="n">
        <v>78504.16</v>
      </c>
    </row>
    <row r="54" customFormat="false" ht="15" hidden="false" customHeight="false" outlineLevel="0" collapsed="false">
      <c r="A54" s="2" t="s">
        <v>210</v>
      </c>
      <c r="B54" s="3" t="n">
        <v>46114</v>
      </c>
      <c r="C54" s="2" t="s">
        <v>211</v>
      </c>
      <c r="D54" s="2" t="s">
        <v>8</v>
      </c>
      <c r="E54" s="2" t="s">
        <v>19</v>
      </c>
      <c r="F54" s="4" t="n">
        <v>231404.96</v>
      </c>
    </row>
    <row r="55" customFormat="false" ht="15" hidden="false" customHeight="false" outlineLevel="0" collapsed="false">
      <c r="A55" s="2" t="s">
        <v>49</v>
      </c>
      <c r="B55" s="3" t="n">
        <v>46130</v>
      </c>
      <c r="C55" s="2" t="s">
        <v>50</v>
      </c>
      <c r="D55" s="2" t="s">
        <v>25</v>
      </c>
      <c r="E55" s="2" t="s">
        <v>44</v>
      </c>
      <c r="F55" s="4" t="n">
        <v>94956.94</v>
      </c>
    </row>
    <row r="56" customFormat="false" ht="15" hidden="false" customHeight="false" outlineLevel="0" collapsed="false">
      <c r="A56" s="2" t="s">
        <v>100</v>
      </c>
      <c r="B56" s="3" t="n">
        <v>46113</v>
      </c>
      <c r="C56" s="2" t="s">
        <v>101</v>
      </c>
      <c r="D56" s="2" t="s">
        <v>28</v>
      </c>
      <c r="E56" s="2" t="s">
        <v>19</v>
      </c>
      <c r="F56" s="4" t="n">
        <v>55171.31</v>
      </c>
    </row>
    <row r="57" customFormat="false" ht="15" hidden="false" customHeight="false" outlineLevel="0" collapsed="false">
      <c r="A57" s="2" t="s">
        <v>222</v>
      </c>
      <c r="B57" s="3" t="n">
        <v>46113</v>
      </c>
      <c r="C57" s="2" t="s">
        <v>223</v>
      </c>
      <c r="D57" s="2" t="s">
        <v>63</v>
      </c>
      <c r="E57" s="2" t="s">
        <v>22</v>
      </c>
      <c r="F57" s="4" t="n">
        <v>107557.55</v>
      </c>
    </row>
    <row r="58" customFormat="false" ht="15" hidden="false" customHeight="false" outlineLevel="0" collapsed="false">
      <c r="A58" s="2" t="s">
        <v>206</v>
      </c>
      <c r="B58" s="3" t="n">
        <v>46126</v>
      </c>
      <c r="C58" s="2" t="s">
        <v>207</v>
      </c>
      <c r="D58" s="2" t="s">
        <v>32</v>
      </c>
      <c r="E58" s="2" t="s">
        <v>44</v>
      </c>
      <c r="F58" s="4" t="n">
        <v>151611.28</v>
      </c>
    </row>
    <row r="59" customFormat="false" ht="15" hidden="false" customHeight="false" outlineLevel="0" collapsed="false">
      <c r="A59" s="2" t="s">
        <v>94</v>
      </c>
      <c r="B59" s="3" t="n">
        <v>46126</v>
      </c>
      <c r="C59" s="2" t="s">
        <v>95</v>
      </c>
      <c r="D59" s="2" t="s">
        <v>28</v>
      </c>
      <c r="E59" s="2" t="s">
        <v>9</v>
      </c>
      <c r="F59" s="4" t="n">
        <v>78032.32</v>
      </c>
    </row>
    <row r="60" customFormat="false" ht="15" hidden="false" customHeight="false" outlineLevel="0" collapsed="false">
      <c r="A60" s="2" t="s">
        <v>20</v>
      </c>
      <c r="B60" s="3" t="n">
        <v>46133</v>
      </c>
      <c r="C60" s="2" t="s">
        <v>21</v>
      </c>
      <c r="D60" s="2" t="s">
        <v>15</v>
      </c>
      <c r="E60" s="2" t="s">
        <v>22</v>
      </c>
      <c r="F60" s="4" t="n">
        <v>112384.88</v>
      </c>
    </row>
    <row r="61" customFormat="false" ht="15" hidden="false" customHeight="false" outlineLevel="0" collapsed="false">
      <c r="A61" s="2" t="s">
        <v>42</v>
      </c>
      <c r="B61" s="3" t="n">
        <v>46140</v>
      </c>
      <c r="C61" s="2" t="s">
        <v>43</v>
      </c>
      <c r="D61" s="2" t="s">
        <v>12</v>
      </c>
      <c r="E61" s="2" t="s">
        <v>44</v>
      </c>
      <c r="F61" s="4" t="n">
        <v>69601.7</v>
      </c>
    </row>
    <row r="62" customFormat="false" ht="15" hidden="false" customHeight="false" outlineLevel="0" collapsed="false">
      <c r="A62" s="2" t="s">
        <v>110</v>
      </c>
      <c r="B62" s="3" t="n">
        <v>46138</v>
      </c>
      <c r="C62" s="2" t="s">
        <v>111</v>
      </c>
      <c r="D62" s="2" t="s">
        <v>28</v>
      </c>
      <c r="E62" s="2" t="s">
        <v>16</v>
      </c>
      <c r="F62" s="4" t="n">
        <v>24368.16</v>
      </c>
    </row>
    <row r="63" customFormat="false" ht="15" hidden="false" customHeight="false" outlineLevel="0" collapsed="false">
      <c r="A63" s="2" t="s">
        <v>178</v>
      </c>
      <c r="B63" s="3" t="n">
        <v>46117</v>
      </c>
      <c r="C63" s="2" t="s">
        <v>179</v>
      </c>
      <c r="D63" s="2" t="s">
        <v>25</v>
      </c>
      <c r="E63" s="2" t="s">
        <v>16</v>
      </c>
      <c r="F63" s="4" t="n">
        <v>77168.35</v>
      </c>
    </row>
    <row r="64" customFormat="false" ht="15" hidden="false" customHeight="false" outlineLevel="0" collapsed="false">
      <c r="A64" s="2" t="s">
        <v>198</v>
      </c>
      <c r="B64" s="3" t="n">
        <v>46125</v>
      </c>
      <c r="C64" s="2" t="s">
        <v>199</v>
      </c>
      <c r="D64" s="2" t="s">
        <v>63</v>
      </c>
      <c r="E64" s="2" t="s">
        <v>16</v>
      </c>
      <c r="F64" s="4" t="n">
        <v>241727.24</v>
      </c>
    </row>
    <row r="65" customFormat="false" ht="15" hidden="false" customHeight="false" outlineLevel="0" collapsed="false">
      <c r="A65" s="2" t="s">
        <v>230</v>
      </c>
      <c r="B65" s="3" t="n">
        <v>46137</v>
      </c>
      <c r="C65" s="2" t="s">
        <v>231</v>
      </c>
      <c r="D65" s="2" t="s">
        <v>63</v>
      </c>
      <c r="E65" s="2" t="s">
        <v>22</v>
      </c>
      <c r="F65" s="4" t="n">
        <v>201669.74</v>
      </c>
    </row>
    <row r="66" customFormat="false" ht="15" hidden="false" customHeight="false" outlineLevel="0" collapsed="false">
      <c r="A66" s="2" t="s">
        <v>154</v>
      </c>
      <c r="B66" s="3" t="n">
        <v>46121</v>
      </c>
      <c r="C66" s="2" t="s">
        <v>155</v>
      </c>
      <c r="D66" s="2" t="s">
        <v>32</v>
      </c>
      <c r="E66" s="2" t="s">
        <v>16</v>
      </c>
      <c r="F66" s="4" t="n">
        <v>219835.67</v>
      </c>
    </row>
    <row r="67" customFormat="false" ht="15" hidden="false" customHeight="false" outlineLevel="0" collapsed="false">
      <c r="A67" s="2" t="s">
        <v>194</v>
      </c>
      <c r="B67" s="3" t="n">
        <v>46139</v>
      </c>
      <c r="C67" s="2" t="s">
        <v>195</v>
      </c>
      <c r="D67" s="2" t="s">
        <v>32</v>
      </c>
      <c r="E67" s="2" t="s">
        <v>29</v>
      </c>
      <c r="F67" s="4" t="n">
        <v>205161.01</v>
      </c>
    </row>
    <row r="68" customFormat="false" ht="15" hidden="false" customHeight="false" outlineLevel="0" collapsed="false">
      <c r="A68" s="2" t="s">
        <v>45</v>
      </c>
      <c r="B68" s="3" t="n">
        <v>46133</v>
      </c>
      <c r="C68" s="2" t="s">
        <v>46</v>
      </c>
      <c r="D68" s="2" t="s">
        <v>25</v>
      </c>
      <c r="E68" s="2" t="s">
        <v>29</v>
      </c>
      <c r="F68" s="4" t="n">
        <v>88914.38</v>
      </c>
    </row>
    <row r="69" customFormat="false" ht="15" hidden="false" customHeight="false" outlineLevel="0" collapsed="false">
      <c r="A69" s="2" t="s">
        <v>98</v>
      </c>
      <c r="B69" s="3" t="n">
        <v>46127</v>
      </c>
      <c r="C69" s="2" t="s">
        <v>99</v>
      </c>
      <c r="D69" s="2" t="s">
        <v>28</v>
      </c>
      <c r="E69" s="2" t="s">
        <v>22</v>
      </c>
      <c r="F69" s="4" t="n">
        <v>16146.87</v>
      </c>
    </row>
    <row r="70" customFormat="false" ht="15" hidden="false" customHeight="false" outlineLevel="0" collapsed="false">
      <c r="A70" s="2" t="s">
        <v>59</v>
      </c>
      <c r="B70" s="3" t="n">
        <v>46141</v>
      </c>
      <c r="C70" s="2" t="s">
        <v>60</v>
      </c>
      <c r="D70" s="2" t="s">
        <v>35</v>
      </c>
      <c r="E70" s="2" t="s">
        <v>22</v>
      </c>
      <c r="F70" s="4" t="n">
        <v>66330.31</v>
      </c>
    </row>
    <row r="71" customFormat="false" ht="15" hidden="false" customHeight="false" outlineLevel="0" collapsed="false">
      <c r="A71" s="2" t="s">
        <v>176</v>
      </c>
      <c r="B71" s="3" t="n">
        <v>46141</v>
      </c>
      <c r="C71" s="2" t="s">
        <v>177</v>
      </c>
      <c r="D71" s="2" t="s">
        <v>8</v>
      </c>
      <c r="E71" s="2" t="s">
        <v>29</v>
      </c>
      <c r="F71" s="4" t="n">
        <v>145690.02</v>
      </c>
    </row>
    <row r="72" customFormat="false" ht="15" hidden="false" customHeight="false" outlineLevel="0" collapsed="false">
      <c r="A72" s="2" t="s">
        <v>61</v>
      </c>
      <c r="B72" s="3" t="n">
        <v>46120</v>
      </c>
      <c r="C72" s="2" t="s">
        <v>62</v>
      </c>
      <c r="D72" s="2" t="s">
        <v>63</v>
      </c>
      <c r="E72" s="2" t="s">
        <v>9</v>
      </c>
      <c r="F72" s="4" t="n">
        <v>146208.81</v>
      </c>
    </row>
    <row r="73" customFormat="false" ht="15" hidden="false" customHeight="false" outlineLevel="0" collapsed="false">
      <c r="A73" s="2" t="s">
        <v>114</v>
      </c>
      <c r="B73" s="3" t="n">
        <v>46136</v>
      </c>
      <c r="C73" s="2" t="s">
        <v>115</v>
      </c>
      <c r="D73" s="2" t="s">
        <v>12</v>
      </c>
      <c r="E73" s="2" t="s">
        <v>16</v>
      </c>
      <c r="F73" s="4" t="n">
        <v>100744.93</v>
      </c>
    </row>
    <row r="74" customFormat="false" ht="15" hidden="false" customHeight="false" outlineLevel="0" collapsed="false">
      <c r="A74" s="2" t="s">
        <v>232</v>
      </c>
      <c r="B74" s="3" t="n">
        <v>46117</v>
      </c>
      <c r="C74" s="2" t="s">
        <v>233</v>
      </c>
      <c r="D74" s="2" t="s">
        <v>8</v>
      </c>
      <c r="E74" s="2" t="s">
        <v>22</v>
      </c>
      <c r="F74" s="4" t="n">
        <v>247336.59</v>
      </c>
    </row>
    <row r="75" customFormat="false" ht="15" hidden="false" customHeight="false" outlineLevel="0" collapsed="false">
      <c r="A75" s="2" t="s">
        <v>254</v>
      </c>
      <c r="B75" s="3" t="n">
        <v>46120</v>
      </c>
      <c r="C75" s="2" t="s">
        <v>255</v>
      </c>
      <c r="D75" s="2" t="s">
        <v>32</v>
      </c>
      <c r="E75" s="2" t="s">
        <v>29</v>
      </c>
      <c r="F75" s="4" t="n">
        <v>223272.75</v>
      </c>
    </row>
    <row r="76" customFormat="false" ht="15" hidden="false" customHeight="false" outlineLevel="0" collapsed="false">
      <c r="A76" s="2" t="s">
        <v>240</v>
      </c>
      <c r="B76" s="3" t="n">
        <v>46120</v>
      </c>
      <c r="C76" s="2" t="s">
        <v>241</v>
      </c>
      <c r="D76" s="2" t="s">
        <v>35</v>
      </c>
      <c r="E76" s="2" t="s">
        <v>16</v>
      </c>
      <c r="F76" s="4" t="n">
        <v>139417.84</v>
      </c>
    </row>
    <row r="77" customFormat="false" ht="15" hidden="false" customHeight="false" outlineLevel="0" collapsed="false">
      <c r="A77" s="2" t="s">
        <v>166</v>
      </c>
      <c r="B77" s="3" t="n">
        <v>46121</v>
      </c>
      <c r="C77" s="2" t="s">
        <v>167</v>
      </c>
      <c r="D77" s="2" t="s">
        <v>35</v>
      </c>
      <c r="E77" s="2" t="s">
        <v>29</v>
      </c>
      <c r="F77" s="4" t="n">
        <v>226348.32</v>
      </c>
    </row>
    <row r="78" customFormat="false" ht="15" hidden="false" customHeight="false" outlineLevel="0" collapsed="false">
      <c r="A78" s="2" t="s">
        <v>47</v>
      </c>
      <c r="B78" s="3" t="n">
        <v>46134</v>
      </c>
      <c r="C78" s="2" t="s">
        <v>48</v>
      </c>
      <c r="D78" s="2" t="s">
        <v>12</v>
      </c>
      <c r="E78" s="2" t="s">
        <v>19</v>
      </c>
      <c r="F78" s="4" t="n">
        <v>158799.33</v>
      </c>
    </row>
    <row r="79" customFormat="false" ht="15" hidden="false" customHeight="false" outlineLevel="0" collapsed="false">
      <c r="A79" s="2" t="s">
        <v>216</v>
      </c>
      <c r="B79" s="3" t="n">
        <v>46136</v>
      </c>
      <c r="C79" s="2" t="s">
        <v>217</v>
      </c>
      <c r="D79" s="2" t="s">
        <v>63</v>
      </c>
      <c r="E79" s="2" t="s">
        <v>9</v>
      </c>
      <c r="F79" s="4" t="n">
        <v>102186.97</v>
      </c>
    </row>
    <row r="80" customFormat="false" ht="15" hidden="false" customHeight="false" outlineLevel="0" collapsed="false">
      <c r="A80" s="2" t="s">
        <v>51</v>
      </c>
      <c r="B80" s="3" t="n">
        <v>46142</v>
      </c>
      <c r="C80" s="2" t="s">
        <v>52</v>
      </c>
      <c r="D80" s="2" t="s">
        <v>28</v>
      </c>
      <c r="E80" s="2" t="s">
        <v>9</v>
      </c>
      <c r="F80" s="4" t="n">
        <v>81172.04</v>
      </c>
    </row>
    <row r="81" customFormat="false" ht="15" hidden="false" customHeight="false" outlineLevel="0" collapsed="false">
      <c r="A81" s="2" t="s">
        <v>80</v>
      </c>
      <c r="B81" s="3" t="n">
        <v>46140</v>
      </c>
      <c r="C81" s="2" t="s">
        <v>81</v>
      </c>
      <c r="D81" s="2" t="s">
        <v>63</v>
      </c>
      <c r="E81" s="2" t="s">
        <v>9</v>
      </c>
      <c r="F81" s="4" t="n">
        <v>126989.57</v>
      </c>
    </row>
    <row r="82" customFormat="false" ht="15" hidden="false" customHeight="false" outlineLevel="0" collapsed="false">
      <c r="A82" s="2" t="s">
        <v>57</v>
      </c>
      <c r="B82" s="3" t="n">
        <v>46131</v>
      </c>
      <c r="C82" s="2" t="s">
        <v>58</v>
      </c>
      <c r="D82" s="2" t="s">
        <v>28</v>
      </c>
      <c r="E82" s="2" t="s">
        <v>9</v>
      </c>
      <c r="F82" s="4" t="n">
        <v>124882.93</v>
      </c>
    </row>
    <row r="83" customFormat="false" ht="15" hidden="false" customHeight="false" outlineLevel="0" collapsed="false">
      <c r="A83" s="2" t="s">
        <v>182</v>
      </c>
      <c r="B83" s="3" t="n">
        <v>46134</v>
      </c>
      <c r="C83" s="2" t="s">
        <v>183</v>
      </c>
      <c r="D83" s="2" t="s">
        <v>32</v>
      </c>
      <c r="E83" s="2" t="s">
        <v>19</v>
      </c>
      <c r="F83" s="4" t="n">
        <v>221051.06</v>
      </c>
    </row>
    <row r="84" customFormat="false" ht="15" hidden="false" customHeight="false" outlineLevel="0" collapsed="false">
      <c r="A84" s="2" t="s">
        <v>214</v>
      </c>
      <c r="B84" s="3" t="n">
        <v>46134</v>
      </c>
      <c r="C84" s="2" t="s">
        <v>215</v>
      </c>
      <c r="D84" s="2" t="s">
        <v>32</v>
      </c>
      <c r="E84" s="2" t="s">
        <v>9</v>
      </c>
      <c r="F84" s="4" t="n">
        <v>212026.62</v>
      </c>
    </row>
    <row r="85" customFormat="false" ht="15" hidden="false" customHeight="false" outlineLevel="0" collapsed="false">
      <c r="A85" s="2" t="s">
        <v>70</v>
      </c>
      <c r="B85" s="3" t="n">
        <v>46134</v>
      </c>
      <c r="C85" s="2" t="s">
        <v>71</v>
      </c>
      <c r="D85" s="2" t="s">
        <v>12</v>
      </c>
      <c r="E85" s="2" t="s">
        <v>44</v>
      </c>
      <c r="F85" s="4" t="n">
        <v>95497.58</v>
      </c>
    </row>
    <row r="86" customFormat="false" ht="15" hidden="false" customHeight="false" outlineLevel="0" collapsed="false">
      <c r="A86" s="2" t="s">
        <v>82</v>
      </c>
      <c r="B86" s="3" t="n">
        <v>46119</v>
      </c>
      <c r="C86" s="2" t="s">
        <v>83</v>
      </c>
      <c r="D86" s="2" t="s">
        <v>32</v>
      </c>
      <c r="E86" s="2" t="s">
        <v>22</v>
      </c>
      <c r="F86" s="4" t="n">
        <v>134913.85</v>
      </c>
    </row>
    <row r="87" customFormat="false" ht="15" hidden="false" customHeight="false" outlineLevel="0" collapsed="false">
      <c r="A87" s="2" t="s">
        <v>264</v>
      </c>
      <c r="B87" s="3" t="n">
        <v>46130</v>
      </c>
      <c r="C87" s="2" t="s">
        <v>265</v>
      </c>
      <c r="D87" s="2" t="s">
        <v>15</v>
      </c>
      <c r="E87" s="2" t="s">
        <v>19</v>
      </c>
      <c r="F87" s="4" t="n">
        <v>45369.16</v>
      </c>
    </row>
    <row r="88" customFormat="false" ht="15" hidden="false" customHeight="false" outlineLevel="0" collapsed="false">
      <c r="A88" s="2" t="s">
        <v>23</v>
      </c>
      <c r="B88" s="3" t="n">
        <v>46121</v>
      </c>
      <c r="C88" s="2" t="s">
        <v>24</v>
      </c>
      <c r="D88" s="2" t="s">
        <v>25</v>
      </c>
      <c r="E88" s="2" t="s">
        <v>9</v>
      </c>
      <c r="F88" s="4" t="n">
        <v>105740.21</v>
      </c>
    </row>
    <row r="89" customFormat="false" ht="15" hidden="false" customHeight="false" outlineLevel="0" collapsed="false">
      <c r="A89" s="2" t="s">
        <v>202</v>
      </c>
      <c r="B89" s="3" t="n">
        <v>46130</v>
      </c>
      <c r="C89" s="2" t="s">
        <v>203</v>
      </c>
      <c r="D89" s="2" t="s">
        <v>8</v>
      </c>
      <c r="E89" s="2" t="s">
        <v>16</v>
      </c>
      <c r="F89" s="4" t="n">
        <v>219278.05</v>
      </c>
    </row>
    <row r="90" customFormat="false" ht="15" hidden="false" customHeight="false" outlineLevel="0" collapsed="false">
      <c r="A90" s="2" t="s">
        <v>33</v>
      </c>
      <c r="B90" s="3" t="n">
        <v>46138</v>
      </c>
      <c r="C90" s="2" t="s">
        <v>34</v>
      </c>
      <c r="D90" s="2" t="s">
        <v>35</v>
      </c>
      <c r="E90" s="2" t="s">
        <v>19</v>
      </c>
      <c r="F90" s="4" t="n">
        <v>31337.82</v>
      </c>
    </row>
    <row r="91" customFormat="false" ht="15" hidden="false" customHeight="false" outlineLevel="0" collapsed="false">
      <c r="A91" s="2" t="s">
        <v>190</v>
      </c>
      <c r="B91" s="3" t="n">
        <v>46138</v>
      </c>
      <c r="C91" s="2" t="s">
        <v>191</v>
      </c>
      <c r="D91" s="2" t="s">
        <v>63</v>
      </c>
      <c r="E91" s="2" t="s">
        <v>22</v>
      </c>
      <c r="F91" s="4" t="n">
        <v>196875.52</v>
      </c>
    </row>
    <row r="92" customFormat="false" ht="15" hidden="false" customHeight="false" outlineLevel="0" collapsed="false">
      <c r="A92" s="2" t="s">
        <v>76</v>
      </c>
      <c r="B92" s="3" t="n">
        <v>46122</v>
      </c>
      <c r="C92" s="2" t="s">
        <v>77</v>
      </c>
      <c r="D92" s="2" t="s">
        <v>25</v>
      </c>
      <c r="E92" s="2" t="s">
        <v>44</v>
      </c>
      <c r="F92" s="4" t="n">
        <v>960.84</v>
      </c>
    </row>
    <row r="93" customFormat="false" ht="15" hidden="false" customHeight="false" outlineLevel="0" collapsed="false">
      <c r="A93" s="2" t="s">
        <v>108</v>
      </c>
      <c r="B93" s="3" t="n">
        <v>46142</v>
      </c>
      <c r="C93" s="2" t="s">
        <v>109</v>
      </c>
      <c r="D93" s="2" t="s">
        <v>35</v>
      </c>
      <c r="E93" s="2" t="s">
        <v>22</v>
      </c>
      <c r="F93" s="4" t="n">
        <v>196187.16</v>
      </c>
    </row>
    <row r="94" customFormat="false" ht="15" hidden="false" customHeight="false" outlineLevel="0" collapsed="false">
      <c r="A94" s="2" t="s">
        <v>256</v>
      </c>
      <c r="B94" s="3" t="n">
        <v>46115</v>
      </c>
      <c r="C94" s="2" t="s">
        <v>257</v>
      </c>
      <c r="D94" s="2" t="s">
        <v>25</v>
      </c>
      <c r="E94" s="2" t="s">
        <v>22</v>
      </c>
      <c r="F94" s="4" t="n">
        <v>95851.37</v>
      </c>
    </row>
    <row r="95" customFormat="false" ht="15" hidden="false" customHeight="false" outlineLevel="0" collapsed="false">
      <c r="A95" s="2" t="s">
        <v>160</v>
      </c>
      <c r="B95" s="3" t="n">
        <v>46122</v>
      </c>
      <c r="C95" s="2" t="s">
        <v>161</v>
      </c>
      <c r="D95" s="2" t="s">
        <v>12</v>
      </c>
      <c r="E95" s="2" t="s">
        <v>22</v>
      </c>
      <c r="F95" s="4" t="n">
        <v>66226.81</v>
      </c>
    </row>
    <row r="96" customFormat="false" ht="15" hidden="false" customHeight="false" outlineLevel="0" collapsed="false">
      <c r="A96" s="2" t="s">
        <v>13</v>
      </c>
      <c r="B96" s="3" t="n">
        <v>46130</v>
      </c>
      <c r="C96" s="2" t="s">
        <v>14</v>
      </c>
      <c r="D96" s="2" t="s">
        <v>15</v>
      </c>
      <c r="E96" s="2" t="s">
        <v>16</v>
      </c>
      <c r="F96" s="4" t="n">
        <v>7594.84</v>
      </c>
    </row>
    <row r="97" customFormat="false" ht="15" hidden="false" customHeight="false" outlineLevel="0" collapsed="false">
      <c r="A97" s="2" t="s">
        <v>140</v>
      </c>
      <c r="B97" s="3" t="n">
        <v>46125</v>
      </c>
      <c r="C97" s="2" t="s">
        <v>141</v>
      </c>
      <c r="D97" s="2" t="s">
        <v>28</v>
      </c>
      <c r="E97" s="2" t="s">
        <v>19</v>
      </c>
      <c r="F97" s="4" t="n">
        <v>148690.61</v>
      </c>
    </row>
    <row r="98" customFormat="false" ht="15" hidden="false" customHeight="false" outlineLevel="0" collapsed="false">
      <c r="A98" s="2" t="s">
        <v>266</v>
      </c>
      <c r="B98" s="3" t="n">
        <v>46125</v>
      </c>
      <c r="C98" s="2" t="s">
        <v>267</v>
      </c>
      <c r="D98" s="2" t="s">
        <v>35</v>
      </c>
      <c r="E98" s="2" t="s">
        <v>22</v>
      </c>
      <c r="F98" s="4" t="n">
        <v>78467.4</v>
      </c>
    </row>
    <row r="99" customFormat="false" ht="15" hidden="false" customHeight="false" outlineLevel="0" collapsed="false">
      <c r="A99" s="2" t="s">
        <v>84</v>
      </c>
      <c r="B99" s="3" t="n">
        <v>46137</v>
      </c>
      <c r="C99" s="2" t="s">
        <v>85</v>
      </c>
      <c r="D99" s="2" t="s">
        <v>8</v>
      </c>
      <c r="E99" s="2" t="s">
        <v>19</v>
      </c>
      <c r="F99" s="4" t="n">
        <v>81140.39</v>
      </c>
    </row>
    <row r="100" customFormat="false" ht="15" hidden="false" customHeight="false" outlineLevel="0" collapsed="false">
      <c r="A100" s="2" t="s">
        <v>126</v>
      </c>
      <c r="B100" s="3" t="n">
        <v>46119</v>
      </c>
      <c r="C100" s="2" t="s">
        <v>127</v>
      </c>
      <c r="D100" s="2" t="s">
        <v>8</v>
      </c>
      <c r="E100" s="2" t="s">
        <v>22</v>
      </c>
      <c r="F100" s="4" t="n">
        <v>96034.11</v>
      </c>
    </row>
    <row r="101" customFormat="false" ht="15" hidden="false" customHeight="false" outlineLevel="0" collapsed="false">
      <c r="A101" s="2" t="s">
        <v>218</v>
      </c>
      <c r="B101" s="3" t="n">
        <v>46125</v>
      </c>
      <c r="C101" s="2" t="s">
        <v>219</v>
      </c>
      <c r="D101" s="2" t="s">
        <v>25</v>
      </c>
      <c r="E101" s="2" t="s">
        <v>22</v>
      </c>
      <c r="F101" s="4" t="n">
        <v>105198.52</v>
      </c>
    </row>
    <row r="102" customFormat="false" ht="15" hidden="false" customHeight="false" outlineLevel="0" collapsed="false">
      <c r="A102" s="2" t="s">
        <v>90</v>
      </c>
      <c r="B102" s="3" t="n">
        <v>46139</v>
      </c>
      <c r="C102" s="2" t="s">
        <v>91</v>
      </c>
      <c r="D102" s="2" t="s">
        <v>25</v>
      </c>
      <c r="E102" s="2" t="s">
        <v>22</v>
      </c>
      <c r="F102" s="4" t="n">
        <v>164988.74</v>
      </c>
    </row>
    <row r="103" customFormat="false" ht="15" hidden="false" customHeight="false" outlineLevel="0" collapsed="false">
      <c r="A103" s="2" t="s">
        <v>244</v>
      </c>
      <c r="B103" s="3" t="n">
        <v>46134</v>
      </c>
      <c r="C103" s="2" t="s">
        <v>245</v>
      </c>
      <c r="D103" s="2" t="s">
        <v>32</v>
      </c>
      <c r="E103" s="2" t="s">
        <v>44</v>
      </c>
      <c r="F103" s="4" t="n">
        <v>153221.18</v>
      </c>
    </row>
    <row r="104" customFormat="false" ht="15" hidden="false" customHeight="false" outlineLevel="0" collapsed="false">
      <c r="A104" s="2" t="s">
        <v>220</v>
      </c>
      <c r="B104" s="3" t="n">
        <v>46125</v>
      </c>
      <c r="C104" s="2" t="s">
        <v>221</v>
      </c>
      <c r="D104" s="2" t="s">
        <v>63</v>
      </c>
      <c r="E104" s="2" t="s">
        <v>44</v>
      </c>
      <c r="F104" s="4" t="n">
        <v>137052.11</v>
      </c>
    </row>
    <row r="105" customFormat="false" ht="15" hidden="false" customHeight="false" outlineLevel="0" collapsed="false">
      <c r="A105" s="2" t="s">
        <v>106</v>
      </c>
      <c r="B105" s="3" t="n">
        <v>46134</v>
      </c>
      <c r="C105" s="2" t="s">
        <v>107</v>
      </c>
      <c r="D105" s="2" t="s">
        <v>28</v>
      </c>
      <c r="E105" s="2" t="s">
        <v>19</v>
      </c>
      <c r="F105" s="4" t="n">
        <v>33208.12</v>
      </c>
    </row>
    <row r="106" customFormat="false" ht="15" hidden="false" customHeight="false" outlineLevel="0" collapsed="false">
      <c r="A106" s="2" t="s">
        <v>242</v>
      </c>
      <c r="B106" s="3" t="n">
        <v>46142</v>
      </c>
      <c r="C106" s="2" t="s">
        <v>243</v>
      </c>
      <c r="D106" s="2" t="s">
        <v>35</v>
      </c>
      <c r="E106" s="2" t="s">
        <v>22</v>
      </c>
      <c r="F106" s="4" t="n">
        <v>200383.94</v>
      </c>
    </row>
    <row r="107" customFormat="false" ht="15" hidden="false" customHeight="false" outlineLevel="0" collapsed="false">
      <c r="A107" s="2" t="s">
        <v>136</v>
      </c>
      <c r="B107" s="3" t="n">
        <v>46129</v>
      </c>
      <c r="C107" s="2" t="s">
        <v>137</v>
      </c>
      <c r="D107" s="2" t="s">
        <v>8</v>
      </c>
      <c r="E107" s="2" t="s">
        <v>19</v>
      </c>
      <c r="F107" s="4" t="n">
        <v>20165.85</v>
      </c>
    </row>
    <row r="108" customFormat="false" ht="15" hidden="false" customHeight="false" outlineLevel="0" collapsed="false">
      <c r="A108" s="2" t="s">
        <v>74</v>
      </c>
      <c r="B108" s="3" t="n">
        <v>46113</v>
      </c>
      <c r="C108" s="2" t="s">
        <v>75</v>
      </c>
      <c r="D108" s="2" t="s">
        <v>63</v>
      </c>
      <c r="E108" s="2" t="s">
        <v>9</v>
      </c>
      <c r="F108" s="4" t="n">
        <v>85142.84</v>
      </c>
    </row>
    <row r="109" customFormat="false" ht="15" hidden="false" customHeight="false" outlineLevel="0" collapsed="false">
      <c r="A109" s="2" t="s">
        <v>102</v>
      </c>
      <c r="B109" s="3" t="n">
        <v>46115</v>
      </c>
      <c r="C109" s="2" t="s">
        <v>103</v>
      </c>
      <c r="D109" s="2" t="s">
        <v>8</v>
      </c>
      <c r="E109" s="2" t="s">
        <v>22</v>
      </c>
      <c r="F109" s="4" t="n">
        <v>16989.97</v>
      </c>
    </row>
    <row r="110" customFormat="false" ht="15" hidden="false" customHeight="false" outlineLevel="0" collapsed="false">
      <c r="A110" s="2" t="s">
        <v>116</v>
      </c>
      <c r="B110" s="3" t="n">
        <v>46123</v>
      </c>
      <c r="C110" s="2" t="s">
        <v>117</v>
      </c>
      <c r="D110" s="2" t="s">
        <v>28</v>
      </c>
      <c r="E110" s="2" t="s">
        <v>22</v>
      </c>
      <c r="F110" s="4" t="n">
        <v>47673.7</v>
      </c>
    </row>
    <row r="111" customFormat="false" ht="15" hidden="false" customHeight="false" outlineLevel="0" collapsed="false">
      <c r="A111" s="2" t="s">
        <v>86</v>
      </c>
      <c r="B111" s="3" t="n">
        <v>46113</v>
      </c>
      <c r="C111" s="2" t="s">
        <v>87</v>
      </c>
      <c r="D111" s="2" t="s">
        <v>32</v>
      </c>
      <c r="E111" s="2" t="s">
        <v>29</v>
      </c>
      <c r="F111" s="4" t="n">
        <v>59977.16</v>
      </c>
    </row>
    <row r="112" customFormat="false" ht="15" hidden="false" customHeight="false" outlineLevel="0" collapsed="false">
      <c r="A112" s="2" t="s">
        <v>26</v>
      </c>
      <c r="B112" s="3" t="n">
        <v>46121</v>
      </c>
      <c r="C112" s="2" t="s">
        <v>27</v>
      </c>
      <c r="D112" s="2" t="s">
        <v>28</v>
      </c>
      <c r="E112" s="2" t="s">
        <v>29</v>
      </c>
      <c r="F112" s="4" t="n">
        <v>25687.24</v>
      </c>
    </row>
    <row r="113" customFormat="false" ht="15" hidden="false" customHeight="false" outlineLevel="0" collapsed="false">
      <c r="A113" s="2" t="s">
        <v>66</v>
      </c>
      <c r="B113" s="3" t="n">
        <v>46117</v>
      </c>
      <c r="C113" s="2" t="s">
        <v>67</v>
      </c>
      <c r="D113" s="2" t="s">
        <v>35</v>
      </c>
      <c r="E113" s="2" t="s">
        <v>16</v>
      </c>
      <c r="F113" s="4" t="n">
        <v>188982.17</v>
      </c>
    </row>
    <row r="114" customFormat="false" ht="15" hidden="false" customHeight="false" outlineLevel="0" collapsed="false">
      <c r="A114" s="2" t="s">
        <v>138</v>
      </c>
      <c r="B114" s="3" t="n">
        <v>46118</v>
      </c>
      <c r="C114" s="2" t="s">
        <v>139</v>
      </c>
      <c r="D114" s="2" t="s">
        <v>12</v>
      </c>
      <c r="E114" s="2" t="s">
        <v>9</v>
      </c>
      <c r="F114" s="4" t="n">
        <v>213332.27</v>
      </c>
    </row>
    <row r="115" customFormat="false" ht="15" hidden="false" customHeight="false" outlineLevel="0" collapsed="false">
      <c r="A115" s="2" t="s">
        <v>250</v>
      </c>
      <c r="B115" s="3" t="n">
        <v>46139</v>
      </c>
      <c r="C115" s="2" t="s">
        <v>251</v>
      </c>
      <c r="D115" s="2" t="s">
        <v>63</v>
      </c>
      <c r="E115" s="2" t="s">
        <v>19</v>
      </c>
      <c r="F115" s="4" t="n">
        <v>121226.56</v>
      </c>
    </row>
    <row r="116" customFormat="false" ht="15" hidden="false" customHeight="false" outlineLevel="0" collapsed="false">
      <c r="A116" s="2" t="s">
        <v>53</v>
      </c>
      <c r="B116" s="3" t="n">
        <v>46137</v>
      </c>
      <c r="C116" s="2" t="s">
        <v>54</v>
      </c>
      <c r="D116" s="2" t="s">
        <v>28</v>
      </c>
      <c r="E116" s="2" t="s">
        <v>16</v>
      </c>
      <c r="F116" s="4" t="n">
        <v>201290.69</v>
      </c>
    </row>
    <row r="117" customFormat="false" ht="15" hidden="false" customHeight="false" outlineLevel="0" collapsed="false">
      <c r="A117" s="2" t="s">
        <v>128</v>
      </c>
      <c r="B117" s="3" t="n">
        <v>46125</v>
      </c>
      <c r="C117" s="2" t="s">
        <v>129</v>
      </c>
      <c r="D117" s="2" t="s">
        <v>35</v>
      </c>
      <c r="E117" s="2" t="s">
        <v>29</v>
      </c>
      <c r="F117" s="4" t="n">
        <v>105838.42</v>
      </c>
    </row>
    <row r="118" customFormat="false" ht="15" hidden="false" customHeight="false" outlineLevel="0" collapsed="false">
      <c r="A118" s="2" t="s">
        <v>188</v>
      </c>
      <c r="B118" s="3" t="n">
        <v>46142</v>
      </c>
      <c r="C118" s="2" t="s">
        <v>189</v>
      </c>
      <c r="D118" s="2" t="s">
        <v>15</v>
      </c>
      <c r="E118" s="2" t="s">
        <v>9</v>
      </c>
      <c r="F118" s="4" t="n">
        <v>216036.4</v>
      </c>
    </row>
    <row r="119" customFormat="false" ht="15" hidden="false" customHeight="false" outlineLevel="0" collapsed="false">
      <c r="A119" s="2" t="s">
        <v>38</v>
      </c>
      <c r="B119" s="3" t="n">
        <v>46133</v>
      </c>
      <c r="C119" s="2" t="s">
        <v>39</v>
      </c>
      <c r="D119" s="2" t="s">
        <v>32</v>
      </c>
      <c r="E119" s="2" t="s">
        <v>19</v>
      </c>
      <c r="F119" s="4" t="n">
        <v>48193.3</v>
      </c>
    </row>
    <row r="120" customFormat="false" ht="15" hidden="false" customHeight="false" outlineLevel="0" collapsed="false">
      <c r="A120" s="2" t="s">
        <v>17</v>
      </c>
      <c r="B120" s="3" t="n">
        <v>46119</v>
      </c>
      <c r="C120" s="2" t="s">
        <v>18</v>
      </c>
      <c r="D120" s="2" t="s">
        <v>8</v>
      </c>
      <c r="E120" s="2" t="s">
        <v>19</v>
      </c>
      <c r="F120" s="4" t="n">
        <v>49829.59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5" t="s">
        <v>268</v>
      </c>
    </row>
    <row r="3" customFormat="false" ht="15" hidden="false" customHeight="false" outlineLevel="0" collapsed="false">
      <c r="A3" s="2" t="s">
        <v>269</v>
      </c>
      <c r="B3" s="4" t="n">
        <f aca="false">SUM(GL!F2:F121)</f>
        <v>15367647.03</v>
      </c>
    </row>
    <row r="4" customFormat="false" ht="15" hidden="false" customHeight="false" outlineLevel="0" collapsed="false">
      <c r="A4" s="2" t="s">
        <v>270</v>
      </c>
      <c r="B4" s="2" t="n">
        <f aca="false">SUMPRODUCT((GL!F2:F121&gt;10000)*1)</f>
        <v>118</v>
      </c>
    </row>
    <row r="5" customFormat="false" ht="15" hidden="false" customHeight="false" outlineLevel="0" collapsed="false">
      <c r="A5" s="2" t="s">
        <v>271</v>
      </c>
      <c r="B5" s="2" t="n">
        <f aca="false">IFERROR(VLOOKUP("TXN-20005",GL!A:F,6,FALSE()),"n/a")</f>
        <v>112384.88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2026-06-05T13:09:05Z</dcterms:created>
  <dc:creator>openpyxl</dc:creator>
  <dc:description/>
  <dc:language>en-US</dc:language>
  <cp:lastModifiedBy/>
  <dcterms:modified xsi:type="dcterms:W3CDTF">2026-06-05T13:09:05Z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